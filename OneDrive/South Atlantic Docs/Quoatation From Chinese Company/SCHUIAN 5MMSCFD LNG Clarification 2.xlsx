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308" windowHeight="8700"/>
  </bookViews>
  <sheets>
    <sheet name="Sheet1" sheetId="1" r:id="rId1"/>
    <sheet name="Sheet2-Equipment Price 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<sst xmlns="http://schemas.openxmlformats.org/spreadsheetml/2006/main" count="600" uniqueCount="269">
  <si>
    <t>No.</t>
  </si>
  <si>
    <t>Question from Client
客户问题</t>
  </si>
  <si>
    <t>Clarification from Manufacturer
供应商回复</t>
  </si>
  <si>
    <t>The First Clarification：</t>
  </si>
  <si>
    <t>Contractual Role
- Will your company act strictly as:
  - OEM (equipment supplier), or
  - EPC contractor (excluding construction), or
  - EPCC-equivalent with delegated construction to local contractors?
- If EPC, please confirm whether you are willing to take single-point responsibility for plant performance.
贵公司将严格以何种身份参与：
原始设备制造商（设备供应商），或
工程总承包商（EPC，不含施工），或
等效于工程设计采购施工总承包（EPCC）、将施工工作分包给当地承包商的模式？</t>
  </si>
  <si>
    <t>三种都可以，优选原始设备制造商。
All three are acceptable; Original Equipment Manufacturer is preferred.
愿意对装置整体性能承担单点责任。
We accept single-point liability for the overall performance of the plant.</t>
  </si>
  <si>
    <r>
      <rPr>
        <sz val="11"/>
        <color theme="1"/>
        <rFont val="微软雅黑"/>
        <charset val="134"/>
      </rPr>
      <t xml:space="preserve">Engineering Scope
- Will you provide:
  - Full FEED and detailed engineering?
  - Process design guarantees (liquefaction capacity, LNG quality, efficiency)?
  - HAZID, HAZOP, and safety studies?
</t>
    </r>
    <r>
      <rPr>
        <sz val="11"/>
        <color theme="1"/>
        <rFont val="Wingdings 2"/>
        <charset val="134"/>
      </rPr>
      <t></t>
    </r>
    <r>
      <rPr>
        <sz val="11"/>
        <color theme="1"/>
        <rFont val="微软雅黑"/>
        <charset val="134"/>
      </rPr>
      <t xml:space="preserve">贵方是否提供：
完整的前端工程设计（FEED）与详细工程设计？
工艺设计保证（液化能力、LNG 品质、运行效率）？
危险识别（HAZID）、危险与可操作性分析（HAZOP）及安全专项研究？
</t>
    </r>
  </si>
  <si>
    <t>三项均可提供，但不包括当地的图纸转换工作。
All three can be provided, excluding local drawing conversion work.</t>
  </si>
  <si>
    <r>
      <rPr>
        <sz val="11"/>
        <color theme="1"/>
        <rFont val="微软雅黑"/>
        <charset val="134"/>
      </rPr>
      <t>Procurement &amp; Supply
- Confirm full list of equipment within your scope, including:
  - Liquefaction unit (cold box, MR system, etc.)
  - Gas pre-treatment (dehydration, CO</t>
    </r>
    <r>
      <rPr>
        <sz val="11"/>
        <color theme="1"/>
        <rFont val="Times New Roman"/>
        <charset val="134"/>
      </rPr>
      <t>₂</t>
    </r>
    <r>
      <rPr>
        <sz val="11"/>
        <color theme="1"/>
        <rFont val="微软雅黑"/>
        <charset val="134"/>
      </rPr>
      <t xml:space="preserve"> removal, etc.)
  - Storage tanks (cryogenic)
  - Loading systems
  - Utilities and BOP systems
- Clearly identify vendor-supplied packages (compressors, heat exchangers, etc.) and your responsibility for integration.
采购与供货
请确认贵方工作范围内的完整设备清单，包括：
液化单元（冷箱、混合冷剂系统等）
天然气预处理系统（脱水、脱二氧化碳等）
低温储罐
装车系统
公用工程及界区内辅助系统
明确列明由第三方厂商供货的成套设备（压缩机、换热器等），以及贵方在系统集成环节的责任。</t>
    </r>
  </si>
  <si>
    <r>
      <rPr>
        <sz val="11"/>
        <color theme="1"/>
        <rFont val="微软雅黑"/>
        <charset val="134"/>
      </rPr>
      <t xml:space="preserve">具体见表2设备一览表，厂家为四川恒重的均为我公司制造及成套的设备，其余为第三方厂商供货的成套设备，我方负责整体质量责任。
本装置的工艺设备供货清单如下（外形尺寸以最终供货为准）：
</t>
    </r>
    <r>
      <rPr>
        <b/>
        <sz val="11"/>
        <color theme="1"/>
        <rFont val="微软雅黑"/>
        <charset val="134"/>
      </rPr>
      <t xml:space="preserve">Refer to the sheet2-Equipment list. </t>
    </r>
    <r>
      <rPr>
        <sz val="11"/>
        <color theme="1"/>
        <rFont val="微软雅黑"/>
        <charset val="134"/>
      </rPr>
      <t>All items marked as manufactured by Sichuan Hengzhong are fabricated and packaged by our company; others are packaged equipment supplied by third-party manufacturers. We assume overall quality responsibility.
Process Equipment Supply List for This Plant
(Dimensions subject to final delivery)</t>
    </r>
  </si>
  <si>
    <t>Construction &amp; Installation
- Since you do not undertake construction outside China:
  - Will you provide:
    - Installation manuals and procedures?
    - Supervisory personnel (please specify number and duration)?
    - QA/QC oversight during construction?
- Can you review and approve local EPC or construction contractors?
鉴于贵方不承接中国境外的施工业务：
贵方是否提供：
安装手册与施工程序文件？
现场监理人员（请注明人数及驻场时长）？
施工期间的质量保证 / 质量控制（QA/QC）监督？
贵方可否对当地 EPC 或施工承包商进行审核与批准？</t>
  </si>
  <si>
    <t>可能有偿提供。可有偿提供2~3人专业技术顾问人员，时间可同步建设阶段，满足业主要求。
Available at an additional cost. We can provide 2–3 professional technical consultants for the full construction period to meet owner’s requirements, at an additional cost.</t>
  </si>
  <si>
    <r>
      <rPr>
        <sz val="11"/>
        <color theme="1"/>
        <rFont val="微软雅黑"/>
        <charset val="134"/>
      </rPr>
      <t xml:space="preserve">Commissioning &amp; Performance Testing
- Will you:
  - Lead commissioning activities on-site?
  - Provide commissioning procedures and team?
  - Guarantee plant performance (capacity, availability, LNG specs)?
调试与性能测试
</t>
    </r>
    <r>
      <rPr>
        <sz val="11"/>
        <color theme="1"/>
        <rFont val="Wingdings 2"/>
        <charset val="134"/>
      </rPr>
      <t></t>
    </r>
    <r>
      <rPr>
        <sz val="11"/>
        <color theme="1"/>
        <rFont val="微软雅黑"/>
        <charset val="134"/>
      </rPr>
      <t>贵方是否：
牵头负责现场调试工作？
提供调试方案及专业调试团队？
对装置性能（产能、可用率、LNG 产品指标）作出保证？</t>
    </r>
  </si>
  <si>
    <t>均可以。
All of the above are acceptable.</t>
  </si>
  <si>
    <r>
      <rPr>
        <sz val="11"/>
        <color theme="1"/>
        <rFont val="微软雅黑"/>
        <charset val="134"/>
      </rPr>
      <t xml:space="preserve">Performance Guarantees &amp; Liabilities
- Please confirm:
  - Whether you provide process and output guarantees
  - LDs (Liquidated Damages) for:
    - Delay
    - Underperformance
性能保证与责任
</t>
    </r>
    <r>
      <rPr>
        <sz val="11"/>
        <color theme="1"/>
        <rFont val="Wingdings 2"/>
        <charset val="134"/>
      </rPr>
      <t></t>
    </r>
    <r>
      <rPr>
        <sz val="11"/>
        <color theme="1"/>
        <rFont val="微软雅黑"/>
        <charset val="134"/>
      </rPr>
      <t>请确认：
是否提供工艺及产出指标保证
针对以下情形的违约赔偿金（LD）：
工期延误
性能不达标</t>
    </r>
  </si>
  <si>
    <t>可以提供工艺及产出指标保证，仅对性能不达标设定违约赔偿金（LD）。
Process and output guarantees can be provided. Liquidated Damages (LD) apply only to performance non-compliance.</t>
  </si>
  <si>
    <r>
      <rPr>
        <sz val="11"/>
        <color theme="1"/>
        <rFont val="微软雅黑"/>
        <charset val="134"/>
      </rPr>
      <t xml:space="preserve">Interface Responsibility
- In absence of full EPCC scope, please clarify:
  - Who is responsible for interface management between:
    - Civil works
    - Mechanical installation
    - Electrical and control systems
  - Will you act as overall system integrator?
界面管理责任
</t>
    </r>
    <r>
      <rPr>
        <sz val="11"/>
        <color theme="1"/>
        <rFont val="Wingdings 2"/>
        <charset val="134"/>
      </rPr>
      <t></t>
    </r>
    <r>
      <rPr>
        <sz val="11"/>
        <color theme="1"/>
        <rFont val="微软雅黑"/>
        <charset val="134"/>
      </rPr>
      <t>在非完整 EPCC 承包模式下，请明确：
以下各专业间的界面协调工作由哪方负责：
土建工程
机械设备安装
电气及控制系统
贵方是否担任总系统集成方？</t>
    </r>
  </si>
  <si>
    <t>土建工程和安装由甲方负责，可以提供电气及控制系统和总系统集成方。
Civil works and installation shall be the Owner’s responsibility. We can provide electrical and control systems and act as the total system integrator.</t>
  </si>
  <si>
    <t>Local Content &amp; Nigerian Compliance
- Are you willing to:
  - Work with Nigerian contractors?
  - Support compliance with Nigerian local content requirements?
本土化要求与尼日利亚合规性
贵方是否愿意：
与尼日利亚当地承包商合作？
协助满足尼日利亚本土化相关法规要求？</t>
  </si>
  <si>
    <t>可以协商。但可协助提供满足尼日利亚本土化相关法规要求的相关技术资料。
Negotiable. We can assist in providing technical documentation to meet Nigerian localization regulatory requirements.</t>
  </si>
  <si>
    <r>
      <rPr>
        <sz val="11"/>
        <color theme="1"/>
        <rFont val="微软雅黑"/>
        <charset val="134"/>
      </rPr>
      <t xml:space="preserve">After-Sales Support
- Please confirm availability of:
  - O&amp;M support
  - Training for local operators
  - Spare parts strategy
售后支持
</t>
    </r>
    <r>
      <rPr>
        <sz val="11"/>
        <color theme="1"/>
        <rFont val="Wingdings 2"/>
        <charset val="134"/>
      </rPr>
      <t></t>
    </r>
    <r>
      <rPr>
        <sz val="11"/>
        <color theme="1"/>
        <rFont val="微软雅黑"/>
        <charset val="134"/>
      </rPr>
      <t xml:space="preserve">请确认是否提供以下服务：
运营与维护（O&amp;M）支持
当地操作人员培训
备品备件供应方案
</t>
    </r>
  </si>
  <si>
    <t>三项均有偿提供。
All three are available at an additional cost.</t>
  </si>
  <si>
    <r>
      <rPr>
        <sz val="11"/>
        <color theme="1"/>
        <rFont val="微软雅黑"/>
        <charset val="134"/>
      </rPr>
      <t xml:space="preserve">Commercial Structure
- Provide clarity on:
  - Payment milestones
  - Warranty period
  - Delivery timeline (engineering, fabrication, shipment, commissioning)
商务架构
</t>
    </r>
    <r>
      <rPr>
        <sz val="11"/>
        <color theme="1"/>
        <rFont val="Wingdings 2"/>
        <charset val="134"/>
      </rPr>
      <t></t>
    </r>
    <r>
      <rPr>
        <sz val="11"/>
        <color theme="1"/>
        <rFont val="微软雅黑"/>
        <charset val="134"/>
      </rPr>
      <t>请明确说明：
o付款节点
o质保期
o交付 timeline（工程设计、设备制造、发货、现场调试）</t>
    </r>
  </si>
  <si>
    <t>付款节点：1、预付款25%；2、进度款25%；3、提货款40%；4、质保金10%。
质保期：现场调试完成签订移交手续后12个月或货到现场验收后18个月。
交付timeline：工程设计：签订合同后60天内完成；
设备制造：工程设计完成后120天完成，具备发货条件；
发货：完成场内包装验收后7天完成发运至国内港口；
现场调试：所有货物到达现场安装完成后30天内完成调试。
Payment terms:
-Advance payment: 25%
-Progress payment: 25%
-Shipment payment: 40%
-Warranty: 10%
Warranty period: 12 months after signing handover documents upon completion of on-site commissioning, or 18 months after acceptance of goods at site, whichever comes first.
Delivery timeline:
-Engineering design: Completed within 60 days after contract signing.
-Equipment fabrication: Completed within 120 days after engineering design, ready for shipment.
-Shipment: Delivered to domestic port within 7 days after on-site packaging acceptance.
-On-site commissioning: Completed within 30 days after installation of all goods at site.</t>
  </si>
  <si>
    <t>The Second Clarification：</t>
  </si>
  <si>
    <t>What would be the additional cost if you were to send three
professional engineers?
若派遣 3 名专业工程师，将产生多少额外费用？</t>
  </si>
  <si>
    <t>按每人每天800美元收取
To be charged at USD 800 per person per day</t>
  </si>
  <si>
    <t>Could you provide the cost per unit for each equipment?
能否提供每台设备的单价？</t>
  </si>
  <si>
    <t xml:space="preserve">见附件清单
See Table 2 for details.
</t>
  </si>
  <si>
    <t>Can you review and approve local EPC contractors?
贵司是否可对当地 EPC 总承包商进行审核与批准？</t>
  </si>
  <si>
    <t>可以
We can review and approve.</t>
  </si>
  <si>
    <t>Are you willing to work with Nigerian contractors?
贵司是否愿意与尼日利亚承包商合作？</t>
  </si>
  <si>
    <t>可以
We are willing to cooperate with Nigerian contractors.</t>
  </si>
  <si>
    <t>5MMSCFD LNG PLANT EQUIPMENT PRICE LIST</t>
  </si>
  <si>
    <t>原料气过滤分离、计量&amp;燃料气单元
Feed Gas Filter Separation, Metering &amp; Fuel Gas Unit</t>
  </si>
  <si>
    <t>序号
No.</t>
  </si>
  <si>
    <t>设备
Equipment</t>
  </si>
  <si>
    <t>材质
Material</t>
  </si>
  <si>
    <t>数量
Qty.</t>
  </si>
  <si>
    <t>单价
Unit Price</t>
  </si>
  <si>
    <t>总价
Total Amount</t>
  </si>
  <si>
    <t>厂家
Manufacturer</t>
  </si>
  <si>
    <t>备注
Note</t>
  </si>
  <si>
    <t>Ⅰ</t>
  </si>
  <si>
    <t>过滤分离及燃料气撬
Filter Separation &amp; Fuel Gas Skid</t>
  </si>
  <si>
    <t>1unit</t>
  </si>
  <si>
    <t>四川恒重
Hengzhong</t>
  </si>
  <si>
    <t>原料气过滤分离器
Feed Gas Filter Separator</t>
  </si>
  <si>
    <t>Q345R</t>
  </si>
  <si>
    <t>内含滤芯
With filter elements</t>
  </si>
  <si>
    <t>压缩机出口分离器
Compressor Outlet Separator</t>
  </si>
  <si>
    <t>燃料气缓冲罐
Fuel Gas Buffer Tank</t>
  </si>
  <si>
    <t>钢结构及管道材料</t>
  </si>
  <si>
    <t>1set</t>
  </si>
  <si>
    <t>车间制造</t>
  </si>
  <si>
    <t>Ⅱ</t>
  </si>
  <si>
    <t>原料气压缩机组
Feed Gas Compressor Unit</t>
  </si>
  <si>
    <t>2units</t>
  </si>
  <si>
    <t>国产优质
High-quality domestic</t>
  </si>
  <si>
    <t>活塞机，1用1备
Reciprocating, 1 operating + 1 standby</t>
  </si>
  <si>
    <t>原料气脱酸气单元
Feed Gas Acid Gas Removal Unit</t>
  </si>
  <si>
    <t>Ⅲ</t>
  </si>
  <si>
    <t>脱碳撬（Ⅰ）
Decarbonization Skid (I)</t>
  </si>
  <si>
    <t>吸收塔
Absorber Tower</t>
  </si>
  <si>
    <t>内含不锈钢规整填料
With structured stainless steel packing</t>
  </si>
  <si>
    <t>再生塔
Regeneration Tower</t>
  </si>
  <si>
    <t>S30408</t>
  </si>
  <si>
    <t>再沸器
Reboiler</t>
  </si>
  <si>
    <t>管壳式
Shell-and-tube type</t>
  </si>
  <si>
    <t>Ⅳ</t>
  </si>
  <si>
    <t>脱碳撬（Ⅱ）
Decarbonization Skid (II)</t>
  </si>
  <si>
    <t>脱酸气冷却器
Acid Removal Gas Cooler</t>
  </si>
  <si>
    <t>空冷器
 Air-cooled</t>
  </si>
  <si>
    <t>脱酸气分离器
Acid Removal Gas Separator</t>
  </si>
  <si>
    <t>MDEA循环泵
MDEA Circulation Pump</t>
  </si>
  <si>
    <t>用1备1，离心式
Centrifugal, 1 operating + 1 standby</t>
  </si>
  <si>
    <t>贫富液换热器
Rich &amp; Lean-Liquid Heat Exchanger</t>
  </si>
  <si>
    <t>上海浩特等</t>
  </si>
  <si>
    <t>板片式
Plate type</t>
  </si>
  <si>
    <t>贫液冷却器
Lean Liquid Cooler</t>
  </si>
  <si>
    <t>空冷器
Air-cooled</t>
  </si>
  <si>
    <t>活性炭过滤器
Activated Carbon Filter</t>
  </si>
  <si>
    <t>机械过滤器
Mechanical Filter</t>
  </si>
  <si>
    <t>酸气冷却器
Acid Gas Cooler</t>
  </si>
  <si>
    <t>酸气分离器
 Acid Gas Separator</t>
  </si>
  <si>
    <t>MDEA循环槽
MDEA Circulation Tank</t>
  </si>
  <si>
    <t>原料气干燥及脱汞单元
Feed Gas Drying &amp; Mercury Removal Unit</t>
  </si>
  <si>
    <t>Ⅴ</t>
  </si>
  <si>
    <t>原料气干燥、脱汞橇
Feed Gas Drying &amp; Mercury Removal Skid</t>
  </si>
  <si>
    <t>干燥塔
Drying Tower</t>
  </si>
  <si>
    <t>3units</t>
  </si>
  <si>
    <t>内含分子筛
With molecular sieve</t>
  </si>
  <si>
    <t>再生气加热器
Regeneration Gas Heater</t>
  </si>
  <si>
    <t>再生气冷却器
 Regeneration Gas Cooler</t>
  </si>
  <si>
    <t>再生气分离器
Regeneration Gas Separator</t>
  </si>
  <si>
    <t>粉尘过滤器
 Dust Filter</t>
  </si>
  <si>
    <t>脱汞塔
Mercury Removal Tower</t>
  </si>
  <si>
    <t>Q245R</t>
  </si>
  <si>
    <t>内含脱汞剂
With mercury removal agent</t>
  </si>
  <si>
    <t>低温液化单元
Cryogenic Liquefaction Unit</t>
  </si>
  <si>
    <t>Ⅶ</t>
  </si>
  <si>
    <t>液化冷箱
Liquefaction Cold Box</t>
  </si>
  <si>
    <t>苏州三川等
Suzhou Sanchuan etc.</t>
  </si>
  <si>
    <t>液化换热器
Liquefaction Heat Exchanger</t>
  </si>
  <si>
    <t>铝制板翅式换热器
Aluminum plate-fin heat exchanger</t>
  </si>
  <si>
    <t>重烃分离器
Heavy Hydrocarbon Separator</t>
  </si>
  <si>
    <t>调节阀门
Control Valves</t>
  </si>
  <si>
    <t>一次仪表
Primary Instruments</t>
  </si>
  <si>
    <t>低温管道和手动阀门
Cryogenic Piping &amp; Manual Valves</t>
  </si>
  <si>
    <t>冷箱绝热材料
Cold Box Insulation Material</t>
  </si>
  <si>
    <t>Enough</t>
  </si>
  <si>
    <t>冷箱壳体
Cold Box Shell</t>
  </si>
  <si>
    <t>Ⅷ</t>
  </si>
  <si>
    <t>残液加热器
Residual Liquid Heater</t>
  </si>
  <si>
    <t>国产
Domestic</t>
  </si>
  <si>
    <t>空温式
 Ambient air heated</t>
  </si>
  <si>
    <t>Ⅸ</t>
  </si>
  <si>
    <t>氮气电加热器（20KW）
Nitrogen Electric Heater (20KW)</t>
  </si>
  <si>
    <t>MR循环制冷单元
MR Circulation Refrigeration Unit</t>
  </si>
  <si>
    <t>Ⅹ</t>
  </si>
  <si>
    <t>热端冷剂压缩机
Hot-End Refrigerant Compressor</t>
  </si>
  <si>
    <t>螺杆机，空冷
Screw, air-cooled</t>
  </si>
  <si>
    <t>XI</t>
  </si>
  <si>
    <t>冷端冷剂压缩机
Cold-End Refrigerant Compressor</t>
  </si>
  <si>
    <t>冷剂储存、配比及回收单元
Refrigerant Storage, Proportioning &amp; Recovery Unit</t>
  </si>
  <si>
    <t>XII</t>
  </si>
  <si>
    <t>乙烯储存配比橇
Ethylene Storage &amp; Proportioning Skid</t>
  </si>
  <si>
    <r>
      <t>乙烯储罐（20m</t>
    </r>
    <r>
      <rPr>
        <vertAlign val="superscript"/>
        <sz val="10.5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）
Ethylene Storage Tank (20m³)</t>
    </r>
  </si>
  <si>
    <t>乙烯汽化器
Ethylene Vaporizer</t>
  </si>
  <si>
    <r>
      <t>汽化量：300Nm</t>
    </r>
    <r>
      <rPr>
        <vertAlign val="superscript"/>
        <sz val="10.5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/h
 Vaporization rate: 300Nm³/h</t>
    </r>
  </si>
  <si>
    <t>乙烯卸车鹤管
Ethylene Unloading Arm</t>
  </si>
  <si>
    <t>置于橇外
 Outside skid</t>
  </si>
  <si>
    <t>XIII</t>
  </si>
  <si>
    <t>液氮储存配比橇
Liquid Nitrogen Storage &amp; Proportioning Skid</t>
  </si>
  <si>
    <t>液氮储罐
Liquid Nitrogen Storage Tank</t>
  </si>
  <si>
    <r>
      <t xml:space="preserve"> Volume: 20m³
容积：20m</t>
    </r>
    <r>
      <rPr>
        <vertAlign val="superscript"/>
        <sz val="10.5"/>
        <color theme="1"/>
        <rFont val="微软雅黑"/>
        <charset val="134"/>
      </rPr>
      <t>3</t>
    </r>
  </si>
  <si>
    <t>液氮汽化器
Liquid Nitrogen Vaporizer</t>
  </si>
  <si>
    <r>
      <t>汽化量：300Nm</t>
    </r>
    <r>
      <rPr>
        <vertAlign val="superscript"/>
        <sz val="10.5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/h
Vaporization rate: 300Nm³/h</t>
    </r>
  </si>
  <si>
    <t>XIV</t>
  </si>
  <si>
    <t>丙烷储存配比橇
Propane Storage &amp; Proportioning Skid</t>
  </si>
  <si>
    <t>丙烷储罐
Propane Storage Tank</t>
  </si>
  <si>
    <r>
      <t>Volume: 10m³
容积：10m</t>
    </r>
    <r>
      <rPr>
        <vertAlign val="superscript"/>
        <sz val="10.5"/>
        <color theme="1"/>
        <rFont val="微软雅黑"/>
        <charset val="134"/>
      </rPr>
      <t>3</t>
    </r>
  </si>
  <si>
    <t>丙烷卸车泵
Propane Unloading Pump</t>
  </si>
  <si>
    <t>丙烷干燥器
Propane Dryer</t>
  </si>
  <si>
    <t>丙烷卸车鹤管
Propane Unloading Arm</t>
  </si>
  <si>
    <t>置于橇外
Outside skid</t>
  </si>
  <si>
    <t>XV</t>
  </si>
  <si>
    <t>异丁烷储存配比橇
Isobutane Storage &amp; Proportioning Skid</t>
  </si>
  <si>
    <t>异丁烷烷储罐
 Isobutane Storage Tank</t>
  </si>
  <si>
    <t>异丁烷卸车泵
Isobutane Unloading Pump</t>
  </si>
  <si>
    <t>异丁烷干燥器
Isobutane Dryer</t>
  </si>
  <si>
    <t>异丁烷卸车鹤管
Isobutane Unloading Arm</t>
  </si>
  <si>
    <t>XVI</t>
  </si>
  <si>
    <t>冷剂回收橇
 Refrigerant Recovery Skid</t>
  </si>
  <si>
    <t>冷剂回收罐（热端）
 Refrigerant Recovery Tank (Hot End)</t>
  </si>
  <si>
    <t>产品储存装车及BOG回收单元
Product Storage, Loading &amp; BOG Recovery Unit</t>
  </si>
  <si>
    <t>XVII</t>
  </si>
  <si>
    <t>BOG加热橇
BOG Heating Skid</t>
  </si>
  <si>
    <t>BOG空温式复热器
BOG Ambient Air Heater</t>
  </si>
  <si>
    <r>
      <t>200Nm</t>
    </r>
    <r>
      <rPr>
        <vertAlign val="superscript"/>
        <sz val="10.5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/h</t>
    </r>
  </si>
  <si>
    <t>XVIII</t>
  </si>
  <si>
    <t>LNG真空储罐
LNG Vacuum Storage Tank</t>
  </si>
  <si>
    <t>5units</t>
  </si>
  <si>
    <t>苏州杜尔等
Suzhou Du'er etc.</t>
  </si>
  <si>
    <r>
      <t>容积：100m</t>
    </r>
    <r>
      <rPr>
        <b/>
        <vertAlign val="superscript"/>
        <sz val="10.5"/>
        <color theme="1"/>
        <rFont val="微软雅黑"/>
        <charset val="134"/>
      </rPr>
      <t>3</t>
    </r>
  </si>
  <si>
    <t>XIX</t>
  </si>
  <si>
    <t>LNG装车泵橇
LNG Loading Pump Skid</t>
  </si>
  <si>
    <t>LNG装车潜液泵
LNG Loading Submersible Pump</t>
  </si>
  <si>
    <r>
      <t>流量：80m</t>
    </r>
    <r>
      <rPr>
        <vertAlign val="superscript"/>
        <sz val="10.5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/h
Flow rate: 80m³/h</t>
    </r>
  </si>
  <si>
    <t>XX</t>
  </si>
  <si>
    <t>LNG装车臂
LNG Loading Arm</t>
  </si>
  <si>
    <t>3sets</t>
  </si>
  <si>
    <t>污水储存单元
Wastewater Storage Unit</t>
  </si>
  <si>
    <t>XXIV</t>
  </si>
  <si>
    <r>
      <t>污水储罐（20m</t>
    </r>
    <r>
      <rPr>
        <b/>
        <vertAlign val="superscript"/>
        <sz val="10.5"/>
        <color theme="1"/>
        <rFont val="微软雅黑"/>
        <charset val="134"/>
      </rPr>
      <t>3</t>
    </r>
    <r>
      <rPr>
        <b/>
        <sz val="10.5"/>
        <color theme="1"/>
        <rFont val="微软雅黑"/>
        <charset val="134"/>
      </rPr>
      <t>/0.2MPa）
Wastewater Storage Tank (20m³/0.2MPa)</t>
    </r>
  </si>
  <si>
    <t>XXV</t>
  </si>
  <si>
    <t>污水装车泵
Wastewater Loading Pump</t>
  </si>
  <si>
    <r>
      <t>流量：15m</t>
    </r>
    <r>
      <rPr>
        <vertAlign val="superscript"/>
        <sz val="10.5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/h
Flow rate: 15m³/h</t>
    </r>
  </si>
  <si>
    <t>XXVI</t>
  </si>
  <si>
    <t>污水装车鹤管
Wastewater Unloading Arm</t>
  </si>
  <si>
    <t>手动阀门和过滤器
Manual Valves and Filters</t>
  </si>
  <si>
    <t>序 号
No.</t>
  </si>
  <si>
    <t>设备
Equipment名称</t>
  </si>
  <si>
    <t>其他说明
Note</t>
  </si>
  <si>
    <t>总价:
Total Amount:</t>
  </si>
  <si>
    <t>手动低温阀
Manual Cryogenic Valves</t>
  </si>
  <si>
    <t>成空阀门、四川空分等
Chengkong Valves, Sichuan Air Separation etc.</t>
  </si>
  <si>
    <t>手动中常温阀
Manual Medium &amp; Ambient Temp. Valves</t>
  </si>
  <si>
    <t>环球阀门、方正阀门集团等
 Universal Valves, Founder Valve Group etc.</t>
  </si>
  <si>
    <t>常温安全阀
Ambient Temp. Safety Valves</t>
  </si>
  <si>
    <t>罗浮、永一等
Luofu, Yongyi etc.</t>
  </si>
  <si>
    <t>低温安全阀
Cryogenic Safety Valves</t>
  </si>
  <si>
    <t>管道过滤器
Pipeline Filters</t>
  </si>
  <si>
    <t>环球阀门、方正阀门集团等
Universal Valves, Founder Valve Group etc.</t>
  </si>
  <si>
    <t>公用工程系统
Utility System</t>
  </si>
  <si>
    <t>仪表空气和氮气系统
Instrument Air &amp; Nitrogen System</t>
  </si>
  <si>
    <r>
      <t>PSA制氮系统，80Nm</t>
    </r>
    <r>
      <rPr>
        <vertAlign val="superscript"/>
        <sz val="10.5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/h
PSA Nitrogen Generation System, 80Nm³/h</t>
    </r>
  </si>
  <si>
    <r>
      <t>其中仪表空气为200Nm</t>
    </r>
    <r>
      <rPr>
        <vertAlign val="superscript"/>
        <sz val="10.5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/h
 Instrument air: 200Nm³/h</t>
    </r>
  </si>
  <si>
    <t>说明：主要包括空压机（1用1备）、净化装置、空气储罐、氧氮分离装置、氮气缓冲罐、仪表空气缓冲罐及管路附件等。
Description: Mainly includes air compressor (1 operating +1 standby), purification unit, air tank, oxygen-nitrogen separation unit, nitrogen buffer tank, instrument air buffer tank, piping accessories, etc.</t>
  </si>
  <si>
    <t>脱盐水系统
Demineralized Water System</t>
  </si>
  <si>
    <t>脱盐系统
Demineralization System</t>
  </si>
  <si>
    <t>0.5t/h</t>
  </si>
  <si>
    <t>宏森环保、成都彰华或同等
Hongsen Environmental Protection, Chengdu Zhanghua or equivalent</t>
  </si>
  <si>
    <t>导热油炉
Hot Oil Heater</t>
  </si>
  <si>
    <t>余热回收导热油炉（双温型）
Waste Heat Recovery Thermal Oil Heater (Dual Temp.)</t>
  </si>
  <si>
    <t>总出热量：1400kW
 Total heat output: 1400kW</t>
  </si>
  <si>
    <t>安全泄放单元
Safety Relief Unit</t>
  </si>
  <si>
    <t>安全泄放单元（高架火炬）
Safety Relief Unit (Elevated Flare)</t>
  </si>
  <si>
    <t>陕西万科等
Shaanxi Wanke etc.</t>
  </si>
  <si>
    <t>仪表控制
Instrumentation &amp; Control</t>
  </si>
  <si>
    <t>DCS系统
DCS System</t>
  </si>
  <si>
    <t>和利时、浙江中控
HollySys, Zhejiang Supcon</t>
  </si>
  <si>
    <t>SIS系统
SIS System</t>
  </si>
  <si>
    <t>GDS系统
 GDS System</t>
  </si>
  <si>
    <t>海湾、深圳特安、西安博康
Gulf, Shenzhen Te'an, Xi'an Bokang</t>
  </si>
  <si>
    <t>控制阀
 Control Valves</t>
  </si>
  <si>
    <t>含SIS系统所需阀门、仪表
Including valves &amp; instruments for SIS</t>
  </si>
  <si>
    <t>紧急切断阀（常温）
Emergency Shutdown Valves (Ambient Temp.)</t>
  </si>
  <si>
    <t>富阳恒途、浙江永盛、杭州佳能
Fuyang Hengtu, Zhejiang Yongsheng, Hangzhou Jianeng</t>
  </si>
  <si>
    <t>/</t>
  </si>
  <si>
    <t>分子筛切换阀
Molecular Sieve Switching Valves</t>
  </si>
  <si>
    <t>富阳恒途、成空阀门、杭州佳能
Fuyang Hengtu, Chengkong Valves, Hangzhou Jianeng</t>
  </si>
  <si>
    <t>其他开关阀
Other On-Off Valves</t>
  </si>
  <si>
    <t>冷箱调节阀
Cold Box Control Valves</t>
  </si>
  <si>
    <t>其他调节阀
Other Control Valves</t>
  </si>
  <si>
    <t>压力、差压变送器
Pressure &amp; Differential Pressure Transmitters</t>
  </si>
  <si>
    <t>广州派晟、上润、通博、程铭或同等
Guangzhou Piesheng, Shangrun, Tongbo, Chengming or equivalent</t>
  </si>
  <si>
    <t>铂热电阻
Platinum Resistance Thermometers</t>
  </si>
  <si>
    <t>标准孔板
 Standard Orifice Plates</t>
  </si>
  <si>
    <t>广州派晟、上润、通博或同等
Guangzhou Piesheng, Shangrun, Tongbo or equivalent</t>
  </si>
  <si>
    <t>气体涡轮、涡街流量计
Gas Turbine &amp; Vortex Flow Meters</t>
  </si>
  <si>
    <t>苍南/天信或同等
 Cangnan/Tianxin or equivalent</t>
  </si>
  <si>
    <t>就地液位计
Local Level Gauges</t>
  </si>
  <si>
    <t>通博、惠科达、上海星申或同等
 Tongbo, Huikeda, Shanghai Xingshen or equivalent</t>
  </si>
  <si>
    <t>不锈钢压力表、差压表
 Stainless Steel Pressure &amp; Differential Pressure Gauges</t>
  </si>
  <si>
    <t>天府仪表、布莱迪、川仪或同等
Tianfu Meters, Blayd, Sichuan Instrument or equivalent</t>
  </si>
  <si>
    <t>UPS</t>
  </si>
  <si>
    <t>山特/金武士或同等
Santak/Kingwinner or equivalent</t>
  </si>
  <si>
    <t>分析系统
Analysis System</t>
  </si>
  <si>
    <r>
      <t>红外CO2分析仪
Infrared CO</t>
    </r>
    <r>
      <rPr>
        <sz val="10.5"/>
        <color theme="1"/>
        <rFont val="Times New Roman"/>
        <charset val="134"/>
      </rPr>
      <t>₂</t>
    </r>
    <r>
      <rPr>
        <sz val="10.5"/>
        <color theme="1"/>
        <rFont val="微软雅黑"/>
        <charset val="134"/>
      </rPr>
      <t xml:space="preserve"> Analyzer</t>
    </r>
  </si>
  <si>
    <t>西安泰戈等
 Xi'an Taige etc.</t>
  </si>
  <si>
    <t>氧化铝露点分析仪
Alumina Dew Point Analyzer</t>
  </si>
  <si>
    <t>在线气相色谱分析仪
 On-Line Gas Chromatograph Analyzer</t>
  </si>
  <si>
    <t>SIEMENS或ABB（冷剂分析用）
SIEMENS or ABB (for refrigerant analysis)</t>
  </si>
  <si>
    <t>Ⅵ</t>
  </si>
  <si>
    <t>手工分析系统
Manual Analysis System</t>
  </si>
  <si>
    <t>纯化水水质分析仪
Purified Water Quality Analyzer</t>
  </si>
  <si>
    <t>脱盐水水质分析
Demineralized Water Quality Analyzer</t>
  </si>
  <si>
    <t>MDEA溶液分析
MDEA Solution Analyzer</t>
  </si>
  <si>
    <t>电气控制
Electrical Control</t>
  </si>
  <si>
    <t>名称
Item</t>
  </si>
  <si>
    <t>电气控制系统
Electrical Control System</t>
  </si>
  <si>
    <t>冷剂压缩机软启动柜</t>
  </si>
  <si>
    <t>原料气压缩机启动柜</t>
  </si>
  <si>
    <t>燃气发电机组
Gas Generator Set</t>
  </si>
  <si>
    <t>5sets</t>
  </si>
  <si>
    <t>四川恒重
Sichuan Hengzhong</t>
  </si>
  <si>
    <t>USD161,000/1.2MW
USD89,000/600KW</t>
  </si>
  <si>
    <t>可选项(4台1.2MW+1台600KW发电机)-报价内未包含可选项
Optional(4×1.2MW +1×600KW generators)- Not included in the quotation</t>
  </si>
  <si>
    <t>综合费用
Comprehensive Cost</t>
  </si>
  <si>
    <t>价格
Price</t>
  </si>
  <si>
    <t>资料及翻译
Documents&amp;Translation</t>
  </si>
  <si>
    <t>保温
Thermal Insulation</t>
  </si>
  <si>
    <t>无损检测
Non-Destructive Testing (NDT)</t>
  </si>
  <si>
    <t>油漆
Painting / Coating</t>
  </si>
  <si>
    <t>运输及保险
FOB Term Transportation and Insurance</t>
  </si>
  <si>
    <t>海运包装
Sea Freight Packaging</t>
  </si>
  <si>
    <t>辅料
Auxiliary Materials</t>
  </si>
  <si>
    <t>工艺包设计费
Process Package Design Fee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</si>
</sst>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7" formatCode="&quot;￥&quot;#,##0.00;&quot;￥&quot;\-#,##0.00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3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2"/>
      <color theme="1"/>
      <name val="微软雅黑"/>
      <charset val="134"/>
    </font>
    <font>
      <b/>
      <sz val="10.5"/>
      <color theme="1"/>
      <name val="微软雅黑"/>
      <charset val="134"/>
    </font>
    <font>
      <sz val="10.5"/>
      <color theme="1"/>
      <name val="微软雅黑"/>
      <charset val="134"/>
    </font>
    <font>
      <sz val="10"/>
      <color rgb="FF000000"/>
      <name val="微软雅黑"/>
      <charset val="134"/>
    </font>
    <font>
      <b/>
      <sz val="11"/>
      <color theme="1"/>
      <name val="微软雅黑"/>
      <charset val="134"/>
    </font>
    <font>
      <sz val="9"/>
      <color theme="1"/>
      <name val="微软雅黑"/>
      <charset val="134"/>
    </font>
    <font>
      <sz val="10.5"/>
      <color rgb="FFFF0000"/>
      <name val="微软雅黑"/>
      <charset val="134"/>
    </font>
    <font>
      <b/>
      <i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0.5"/>
      <color theme="1"/>
      <name val="微软雅黑"/>
      <charset val="134"/>
    </font>
    <font>
      <sz val="10.5"/>
      <color theme="1"/>
      <name val="Times New Roman"/>
      <charset val="134"/>
    </font>
    <font>
      <b/>
      <vertAlign val="superscript"/>
      <sz val="10.5"/>
      <color theme="1"/>
      <name val="微软雅黑"/>
      <charset val="134"/>
    </font>
    <font>
      <sz val="11"/>
      <color theme="1"/>
      <name val="Wingdings 2"/>
      <charset val="134"/>
    </font>
    <font>
      <sz val="11"/>
      <color theme="1"/>
      <name val="Times New Roman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9" borderId="11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12">
      <alignment vertical="center"/>
    </xf>
    <xf numFmtId="0" fontId="17" fillId="0" borderId="12">
      <alignment vertical="center"/>
    </xf>
    <xf numFmtId="0" fontId="18" fillId="0" borderId="13">
      <alignment vertical="center"/>
    </xf>
    <xf numFmtId="0" fontId="18" fillId="0" borderId="0">
      <alignment vertical="center"/>
    </xf>
    <xf numFmtId="0" fontId="19" fillId="10" borderId="14">
      <alignment vertical="center"/>
    </xf>
    <xf numFmtId="0" fontId="20" fillId="11" borderId="15">
      <alignment vertical="center"/>
    </xf>
    <xf numFmtId="0" fontId="21" fillId="11" borderId="14">
      <alignment vertical="center"/>
    </xf>
    <xf numFmtId="0" fontId="22" fillId="12" borderId="16">
      <alignment vertical="center"/>
    </xf>
    <xf numFmtId="0" fontId="23" fillId="0" borderId="17">
      <alignment vertical="center"/>
    </xf>
    <xf numFmtId="0" fontId="24" fillId="0" borderId="18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9" fillId="33" borderId="0">
      <alignment vertical="center"/>
    </xf>
    <xf numFmtId="0" fontId="29" fillId="34" borderId="0">
      <alignment vertical="center"/>
    </xf>
    <xf numFmtId="0" fontId="28" fillId="35" borderId="0">
      <alignment vertical="center"/>
    </xf>
    <xf numFmtId="0" fontId="28" fillId="36" borderId="0">
      <alignment vertical="center"/>
    </xf>
    <xf numFmtId="0" fontId="29" fillId="37" borderId="0">
      <alignment vertical="center"/>
    </xf>
    <xf numFmtId="0" fontId="29" fillId="38" borderId="0">
      <alignment vertical="center"/>
    </xf>
    <xf numFmtId="0" fontId="28" fillId="39" borderId="0">
      <alignment vertical="center"/>
    </xf>
  </cellStyleXfs>
  <cellXfs count="91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26" fontId="1" fillId="0" borderId="0" xfId="0" applyNumberFormat="1" applyFont="1" applyAlignment="1">
      <alignment horizontal="center" vertical="center"/>
    </xf>
    <xf numFmtId="26" fontId="1" fillId="0" borderId="0" xfId="0" applyNumberFormat="1" applyFont="1" applyAlignment="1">
      <alignment vertical="center"/>
    </xf>
    <xf numFmtId="176" fontId="1" fillId="0" borderId="0" xfId="0" applyNumberFormat="1" applyFont="1" applyAlignment="1">
      <alignment vertical="center"/>
    </xf>
    <xf numFmtId="7" fontId="1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2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26" fontId="3" fillId="0" borderId="0" xfId="0" applyNumberFormat="1" applyFont="1" applyAlignment="1">
      <alignment horizontal="center" vertical="center" wrapText="1"/>
    </xf>
    <xf numFmtId="26" fontId="1" fillId="0" borderId="0" xfId="0" applyNumberFormat="1" applyFont="1" applyAlignment="1">
      <alignment vertical="center" wrapText="1"/>
    </xf>
    <xf numFmtId="176" fontId="1" fillId="0" borderId="0" xfId="0" applyNumberFormat="1" applyFont="1" applyAlignment="1">
      <alignment vertical="center" wrapText="1"/>
    </xf>
    <xf numFmtId="7" fontId="1" fillId="0" borderId="0" xfId="0" applyNumberFormat="1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26" fontId="1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26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26" fontId="1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26" fontId="4" fillId="0" borderId="3" xfId="0" applyNumberFormat="1" applyFont="1" applyBorder="1" applyAlignment="1">
      <alignment horizontal="center" vertical="center" wrapText="1"/>
    </xf>
    <xf numFmtId="26" fontId="4" fillId="0" borderId="4" xfId="0" applyNumberFormat="1" applyFont="1" applyBorder="1" applyAlignment="1">
      <alignment horizontal="center" vertical="center" wrapText="1"/>
    </xf>
    <xf numFmtId="26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6" fontId="1" fillId="0" borderId="0" xfId="0" applyNumberFormat="1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7" fontId="1" fillId="0" borderId="0" xfId="0" applyNumberFormat="1" applyFont="1" applyAlignment="1">
      <alignment horizontal="center" vertical="center" wrapText="1"/>
    </xf>
    <xf numFmtId="26" fontId="1" fillId="0" borderId="5" xfId="0" applyNumberFormat="1" applyFont="1" applyBorder="1" applyAlignment="1">
      <alignment horizontal="center" vertical="center" wrapText="1"/>
    </xf>
    <xf numFmtId="26" fontId="1" fillId="0" borderId="6" xfId="0" applyNumberFormat="1" applyFont="1" applyBorder="1" applyAlignment="1">
      <alignment horizontal="center" vertical="center" wrapText="1"/>
    </xf>
    <xf numFmtId="26" fontId="1" fillId="0" borderId="4" xfId="0" applyNumberFormat="1" applyFont="1" applyBorder="1" applyAlignment="1">
      <alignment horizontal="center" vertical="center" wrapText="1"/>
    </xf>
    <xf numFmtId="26" fontId="1" fillId="0" borderId="3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26" fontId="1" fillId="0" borderId="7" xfId="0" applyNumberFormat="1" applyFont="1" applyBorder="1" applyAlignment="1">
      <alignment horizontal="center" vertical="center" wrapText="1"/>
    </xf>
    <xf numFmtId="26" fontId="5" fillId="0" borderId="1" xfId="0" applyNumberFormat="1" applyFont="1" applyBorder="1" applyAlignment="1">
      <alignment horizontal="center" vertical="center" wrapText="1"/>
    </xf>
    <xf numFmtId="26" fontId="1" fillId="0" borderId="1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26" fontId="1" fillId="0" borderId="8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6" fontId="4" fillId="0" borderId="6" xfId="0" applyNumberFormat="1" applyFont="1" applyBorder="1" applyAlignment="1">
      <alignment horizontal="center" vertical="center" wrapText="1"/>
    </xf>
    <xf numFmtId="26" fontId="4" fillId="0" borderId="5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26" fontId="1" fillId="0" borderId="9" xfId="0" applyNumberFormat="1" applyFont="1" applyBorder="1" applyAlignment="1">
      <alignment horizontal="center" vertical="center" wrapText="1"/>
    </xf>
    <xf numFmtId="26" fontId="1" fillId="0" borderId="10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26" fontId="3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26" fontId="7" fillId="5" borderId="4" xfId="0" applyNumberFormat="1" applyFont="1" applyFill="1" applyBorder="1" applyAlignment="1">
      <alignment horizontal="center" vertical="center" wrapText="1"/>
    </xf>
    <xf numFmtId="26" fontId="7" fillId="4" borderId="1" xfId="0" applyNumberFormat="1" applyFont="1" applyFill="1" applyBorder="1" applyAlignment="1">
      <alignment horizontal="center" vertical="center" wrapText="1"/>
    </xf>
    <xf numFmtId="0" fontId="1" fillId="6" borderId="0" xfId="0" applyFont="1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26" fontId="1" fillId="0" borderId="4" xfId="0" applyNumberFormat="1" applyFont="1" applyBorder="1" applyAlignment="1">
      <alignment horizontal="center" vertical="center" wrapText="1"/>
    </xf>
    <xf numFmtId="26" fontId="1" fillId="0" borderId="1" xfId="0" applyNumberFormat="1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26" fontId="5" fillId="7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26" fontId="5" fillId="6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26" fontId="1" fillId="4" borderId="1" xfId="0" applyNumberFormat="1" applyFont="1" applyFill="1" applyBorder="1" applyAlignment="1">
      <alignment horizontal="center" vertical="center" wrapText="1"/>
    </xf>
    <xf numFmtId="26" fontId="7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26" fontId="5" fillId="2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 wrapText="1"/>
    </xf>
    <xf numFmtId="26" fontId="5" fillId="8" borderId="7" xfId="0" applyNumberFormat="1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176" fontId="1" fillId="6" borderId="0" xfId="0" applyNumberFormat="1" applyFont="1" applyFill="1" applyAlignment="1">
      <alignment horizontal="center" vertical="center" wrapText="1"/>
    </xf>
    <xf numFmtId="7" fontId="1" fillId="6" borderId="0" xfId="0" applyNumberFormat="1" applyFont="1" applyFill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/>
    </xf>
    <xf numFmtId="7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26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B20" sqref="B20"/>
    </sheetView>
  </sheetViews>
  <sheetFormatPr defaultColWidth="9" defaultRowHeight="15.6" outlineLevelCol="2"/>
  <cols>
    <col min="1" max="1" width="9" style="3"/>
    <col min="2" max="2" width="75.3981481481482" style="87" customWidth="1"/>
    <col min="3" max="3" width="62.7777777777778" style="87" customWidth="1"/>
    <col min="4" max="16384" width="9" style="87"/>
  </cols>
  <sheetData>
    <row r="1" s="86" customFormat="1" ht="31.2" spans="1:3">
      <c r="A1" s="2" t="s">
        <v>0</v>
      </c>
      <c r="B1" s="88" t="s">
        <v>1</v>
      </c>
      <c r="C1" s="88" t="s">
        <v>2</v>
      </c>
    </row>
    <row r="2" s="86" customFormat="1" ht="16.2" hidden="1" spans="1:3">
      <c r="A2" s="89" t="s">
        <v>3</v>
      </c>
      <c r="B2" s="89"/>
      <c r="C2" s="89"/>
    </row>
    <row r="3" ht="171.6" hidden="1" spans="1:3">
      <c r="A3" s="2">
        <v>1</v>
      </c>
      <c r="B3" s="90" t="s">
        <v>4</v>
      </c>
      <c r="C3" s="90" t="s">
        <v>5</v>
      </c>
    </row>
    <row r="4" ht="156" hidden="1" spans="1:3">
      <c r="A4" s="2">
        <v>2</v>
      </c>
      <c r="B4" s="90" t="s">
        <v>6</v>
      </c>
      <c r="C4" s="90" t="s">
        <v>7</v>
      </c>
    </row>
    <row r="5" ht="296.4" hidden="1" spans="1:3">
      <c r="A5" s="2">
        <v>3</v>
      </c>
      <c r="B5" s="90" t="s">
        <v>8</v>
      </c>
      <c r="C5" s="90" t="s">
        <v>9</v>
      </c>
    </row>
    <row r="6" ht="218.4" hidden="1" spans="1:3">
      <c r="A6" s="2">
        <v>4</v>
      </c>
      <c r="B6" s="90" t="s">
        <v>10</v>
      </c>
      <c r="C6" s="90" t="s">
        <v>11</v>
      </c>
    </row>
    <row r="7" ht="156" hidden="1" spans="1:3">
      <c r="A7" s="2">
        <v>5</v>
      </c>
      <c r="B7" s="90" t="s">
        <v>12</v>
      </c>
      <c r="C7" s="90" t="s">
        <v>13</v>
      </c>
    </row>
    <row r="8" ht="187.2" hidden="1" spans="1:3">
      <c r="A8" s="2">
        <v>6</v>
      </c>
      <c r="B8" s="90" t="s">
        <v>14</v>
      </c>
      <c r="C8" s="90" t="s">
        <v>15</v>
      </c>
    </row>
    <row r="9" ht="218.4" hidden="1" spans="1:3">
      <c r="A9" s="2">
        <v>7</v>
      </c>
      <c r="B9" s="90" t="s">
        <v>16</v>
      </c>
      <c r="C9" s="90" t="s">
        <v>17</v>
      </c>
    </row>
    <row r="10" ht="124.8" hidden="1" spans="1:3">
      <c r="A10" s="2">
        <v>8</v>
      </c>
      <c r="B10" s="90" t="s">
        <v>18</v>
      </c>
      <c r="C10" s="90" t="s">
        <v>19</v>
      </c>
    </row>
    <row r="11" ht="171.6" hidden="1" spans="1:3">
      <c r="A11" s="2">
        <v>9</v>
      </c>
      <c r="B11" s="90" t="s">
        <v>20</v>
      </c>
      <c r="C11" s="90" t="s">
        <v>21</v>
      </c>
    </row>
    <row r="12" ht="390" hidden="1" spans="1:3">
      <c r="A12" s="2">
        <v>10</v>
      </c>
      <c r="B12" s="90" t="s">
        <v>22</v>
      </c>
      <c r="C12" s="90" t="s">
        <v>23</v>
      </c>
    </row>
    <row r="13" ht="16.2" spans="1:3">
      <c r="A13" s="89" t="s">
        <v>24</v>
      </c>
      <c r="B13" s="89"/>
      <c r="C13" s="89"/>
    </row>
    <row r="14" ht="46.8" spans="1:3">
      <c r="A14" s="3">
        <v>1</v>
      </c>
      <c r="B14" s="90" t="s">
        <v>25</v>
      </c>
      <c r="C14" s="2" t="s">
        <v>26</v>
      </c>
    </row>
    <row r="15" ht="34" customHeight="1" spans="1:3">
      <c r="A15" s="3">
        <v>2</v>
      </c>
      <c r="B15" s="90" t="s">
        <v>27</v>
      </c>
      <c r="C15" s="2" t="s">
        <v>28</v>
      </c>
    </row>
    <row r="16" ht="31.2" spans="1:3">
      <c r="A16" s="3">
        <v>3</v>
      </c>
      <c r="B16" s="90" t="s">
        <v>29</v>
      </c>
      <c r="C16" s="2" t="s">
        <v>30</v>
      </c>
    </row>
    <row r="17" ht="33" customHeight="1" spans="1:3">
      <c r="A17" s="3">
        <v>4</v>
      </c>
      <c r="B17" s="90" t="s">
        <v>31</v>
      </c>
      <c r="C17" s="2" t="s">
        <v>32</v>
      </c>
    </row>
  </sheetData>
  <mergeCells count="2">
    <mergeCell ref="A2:C2"/>
    <mergeCell ref="A13:C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5"/>
  <sheetViews>
    <sheetView zoomScale="70" zoomScaleNormal="70" topLeftCell="B1" workbookViewId="0">
      <selection activeCell="D12" sqref="D12"/>
    </sheetView>
  </sheetViews>
  <sheetFormatPr defaultColWidth="9" defaultRowHeight="15.6"/>
  <cols>
    <col min="1" max="1" width="7" style="4" customWidth="1"/>
    <col min="2" max="2" width="48.6666666666667" style="4" customWidth="1"/>
    <col min="3" max="3" width="33.4814814814815" style="3" customWidth="1"/>
    <col min="4" max="4" width="35.9351851851852" style="4" customWidth="1"/>
    <col min="5" max="5" width="22.537037037037" style="5" customWidth="1"/>
    <col min="6" max="6" width="23.9722222222222" style="5" customWidth="1"/>
    <col min="7" max="7" width="60.787037037037" style="4" customWidth="1"/>
    <col min="8" max="8" width="39.8888888888889" style="4" customWidth="1"/>
    <col min="9" max="9" width="27.462962962963" style="6" customWidth="1"/>
    <col min="10" max="10" width="26.0092592592593" style="7" customWidth="1"/>
    <col min="11" max="11" width="15.8796296296296" style="8" customWidth="1"/>
    <col min="12" max="12" width="27.462962962963" style="6" customWidth="1"/>
    <col min="13" max="13" width="10.2222222222222" style="4"/>
    <col min="14" max="16384" width="9" style="4"/>
  </cols>
  <sheetData>
    <row r="1" ht="20.4" spans="1:12">
      <c r="A1" s="9" t="s">
        <v>33</v>
      </c>
      <c r="B1" s="9"/>
      <c r="C1" s="9"/>
      <c r="D1" s="9"/>
      <c r="E1" s="10"/>
      <c r="F1" s="10"/>
      <c r="G1" s="9"/>
      <c r="H1" s="9"/>
    </row>
    <row r="2" s="1" customFormat="1" ht="37" customHeight="1" spans="1:12">
      <c r="A2" s="11" t="s">
        <v>34</v>
      </c>
      <c r="B2" s="11"/>
      <c r="C2" s="12"/>
      <c r="D2" s="11"/>
      <c r="E2" s="13"/>
      <c r="F2" s="13"/>
      <c r="G2" s="11"/>
      <c r="H2" s="11"/>
      <c r="I2" s="14"/>
      <c r="J2" s="15"/>
      <c r="K2" s="16"/>
      <c r="L2" s="14"/>
    </row>
    <row r="3" s="1" customFormat="1" ht="37" customHeight="1" spans="1:12">
      <c r="A3" s="17" t="s">
        <v>35</v>
      </c>
      <c r="B3" s="17" t="s">
        <v>36</v>
      </c>
      <c r="C3" s="17" t="s">
        <v>37</v>
      </c>
      <c r="D3" s="17" t="s">
        <v>38</v>
      </c>
      <c r="E3" s="18" t="s">
        <v>39</v>
      </c>
      <c r="F3" s="18" t="s">
        <v>40</v>
      </c>
      <c r="G3" s="17" t="s">
        <v>41</v>
      </c>
      <c r="H3" s="17" t="s">
        <v>42</v>
      </c>
      <c r="I3" s="14"/>
      <c r="J3" s="15"/>
      <c r="K3" s="16"/>
      <c r="L3" s="14"/>
    </row>
    <row r="4" s="1" customFormat="1" ht="37" customHeight="1" spans="1:12">
      <c r="A4" s="19" t="s">
        <v>43</v>
      </c>
      <c r="B4" s="19" t="s">
        <v>44</v>
      </c>
      <c r="C4" s="20"/>
      <c r="D4" s="19" t="s">
        <v>45</v>
      </c>
      <c r="E4" s="21">
        <f>SUM(F5:F10)</f>
        <v>473300</v>
      </c>
      <c r="F4" s="21"/>
      <c r="G4" s="19" t="s">
        <v>46</v>
      </c>
      <c r="H4" s="19"/>
      <c r="I4" s="14"/>
      <c r="J4" s="15"/>
      <c r="K4" s="16"/>
      <c r="L4" s="14"/>
    </row>
    <row r="5" s="1" customFormat="1" ht="37" customHeight="1" spans="1:12">
      <c r="A5" s="22">
        <v>1</v>
      </c>
      <c r="B5" s="22" t="s">
        <v>47</v>
      </c>
      <c r="C5" s="23" t="s">
        <v>48</v>
      </c>
      <c r="D5" s="22" t="s">
        <v>45</v>
      </c>
      <c r="E5" s="24">
        <v>18000</v>
      </c>
      <c r="F5" s="24">
        <v>18000</v>
      </c>
      <c r="G5" s="22" t="s">
        <v>46</v>
      </c>
      <c r="H5" s="22" t="s">
        <v>49</v>
      </c>
      <c r="I5" s="14"/>
      <c r="J5" s="15"/>
      <c r="K5" s="16"/>
      <c r="L5" s="14"/>
    </row>
    <row r="6" s="1" customFormat="1" ht="37" customHeight="1" spans="1:12">
      <c r="A6" s="22">
        <v>2</v>
      </c>
      <c r="B6" s="22" t="s">
        <v>50</v>
      </c>
      <c r="C6" s="23" t="s">
        <v>48</v>
      </c>
      <c r="D6" s="22" t="s">
        <v>45</v>
      </c>
      <c r="E6" s="24">
        <v>21200</v>
      </c>
      <c r="F6" s="24">
        <v>21200</v>
      </c>
      <c r="G6" s="22" t="s">
        <v>46</v>
      </c>
      <c r="H6" s="22"/>
      <c r="I6" s="14"/>
      <c r="J6" s="15"/>
      <c r="K6" s="16"/>
      <c r="L6" s="14"/>
    </row>
    <row r="7" s="1" customFormat="1" ht="37" customHeight="1" spans="1:12">
      <c r="A7" s="22">
        <v>3</v>
      </c>
      <c r="B7" s="22" t="s">
        <v>51</v>
      </c>
      <c r="C7" s="23" t="s">
        <v>48</v>
      </c>
      <c r="D7" s="22" t="s">
        <v>45</v>
      </c>
      <c r="E7" s="24">
        <v>13100</v>
      </c>
      <c r="F7" s="24">
        <v>13100</v>
      </c>
      <c r="G7" s="22" t="s">
        <v>46</v>
      </c>
      <c r="H7" s="22"/>
      <c r="I7" s="14"/>
      <c r="J7" s="15"/>
      <c r="K7" s="16"/>
      <c r="L7" s="14"/>
    </row>
    <row r="8" s="1" customFormat="1" ht="37" customHeight="1" spans="1:12">
      <c r="A8" s="22">
        <v>4</v>
      </c>
      <c r="B8" s="25" t="s">
        <v>52</v>
      </c>
      <c r="C8" s="23"/>
      <c r="D8" s="22" t="s">
        <v>53</v>
      </c>
      <c r="E8" s="24">
        <v>76200</v>
      </c>
      <c r="F8" s="24">
        <v>76200</v>
      </c>
      <c r="G8" s="22"/>
      <c r="H8" s="22"/>
      <c r="I8" s="14"/>
      <c r="J8" s="15"/>
      <c r="K8" s="16"/>
      <c r="L8" s="14"/>
    </row>
    <row r="9" s="1" customFormat="1" ht="47" customHeight="1" spans="1:12">
      <c r="A9" s="22">
        <v>5</v>
      </c>
      <c r="B9" s="25" t="s">
        <v>54</v>
      </c>
      <c r="C9" s="23"/>
      <c r="D9" s="22" t="s">
        <v>53</v>
      </c>
      <c r="E9" s="24">
        <v>17100</v>
      </c>
      <c r="F9" s="24">
        <v>17100</v>
      </c>
      <c r="G9" s="22" t="s">
        <v>46</v>
      </c>
      <c r="H9" s="22"/>
      <c r="I9" s="14"/>
      <c r="J9" s="15"/>
      <c r="K9" s="16"/>
      <c r="L9" s="14"/>
    </row>
    <row r="10" s="1" customFormat="1" ht="51" customHeight="1" spans="1:12">
      <c r="A10" s="19" t="s">
        <v>55</v>
      </c>
      <c r="B10" s="19" t="s">
        <v>56</v>
      </c>
      <c r="C10" s="20"/>
      <c r="D10" s="19" t="s">
        <v>57</v>
      </c>
      <c r="E10" s="24">
        <v>163850</v>
      </c>
      <c r="F10" s="24">
        <v>327700</v>
      </c>
      <c r="G10" s="19" t="s">
        <v>58</v>
      </c>
      <c r="H10" s="19" t="s">
        <v>59</v>
      </c>
      <c r="I10" s="14"/>
      <c r="J10" s="15"/>
      <c r="K10" s="16"/>
      <c r="L10" s="14"/>
    </row>
    <row r="11" s="1" customFormat="1" ht="37" customHeight="1" spans="1:12">
      <c r="A11" s="11" t="s">
        <v>60</v>
      </c>
      <c r="B11" s="11"/>
      <c r="C11" s="12"/>
      <c r="D11" s="11"/>
      <c r="E11" s="13"/>
      <c r="F11" s="13"/>
      <c r="G11" s="11"/>
      <c r="H11" s="11"/>
      <c r="I11" s="14"/>
      <c r="J11" s="15"/>
      <c r="K11" s="16"/>
      <c r="L11" s="14"/>
    </row>
    <row r="12" s="1" customFormat="1" ht="37" customHeight="1" spans="1:12">
      <c r="A12" s="17" t="s">
        <v>35</v>
      </c>
      <c r="B12" s="17" t="s">
        <v>36</v>
      </c>
      <c r="C12" s="17" t="s">
        <v>37</v>
      </c>
      <c r="D12" s="17" t="s">
        <v>38</v>
      </c>
      <c r="E12" s="18" t="s">
        <v>39</v>
      </c>
      <c r="F12" s="18" t="s">
        <v>40</v>
      </c>
      <c r="G12" s="17" t="s">
        <v>41</v>
      </c>
      <c r="H12" s="17" t="s">
        <v>42</v>
      </c>
      <c r="I12" s="14"/>
      <c r="J12" s="15"/>
      <c r="K12" s="16"/>
      <c r="L12" s="14"/>
    </row>
    <row r="13" s="1" customFormat="1" ht="37" customHeight="1" spans="1:12">
      <c r="A13" s="19" t="s">
        <v>61</v>
      </c>
      <c r="B13" s="19" t="s">
        <v>62</v>
      </c>
      <c r="C13" s="19"/>
      <c r="D13" s="19" t="s">
        <v>45</v>
      </c>
      <c r="E13" s="26">
        <f>SUM(F14:F18)</f>
        <v>185300</v>
      </c>
      <c r="F13" s="27"/>
      <c r="G13" s="19" t="s">
        <v>46</v>
      </c>
      <c r="H13" s="19"/>
      <c r="I13" s="14"/>
      <c r="J13" s="15"/>
      <c r="K13" s="16"/>
      <c r="L13" s="14"/>
    </row>
    <row r="14" s="1" customFormat="1" ht="47" customHeight="1" spans="1:12">
      <c r="A14" s="22">
        <v>1</v>
      </c>
      <c r="B14" s="22" t="s">
        <v>63</v>
      </c>
      <c r="C14" s="23" t="s">
        <v>48</v>
      </c>
      <c r="D14" s="22" t="s">
        <v>45</v>
      </c>
      <c r="E14" s="24">
        <v>39280</v>
      </c>
      <c r="F14" s="24">
        <v>39200</v>
      </c>
      <c r="G14" s="22" t="s">
        <v>46</v>
      </c>
      <c r="H14" s="22" t="s">
        <v>64</v>
      </c>
      <c r="I14" s="14"/>
      <c r="J14" s="15"/>
      <c r="K14" s="16"/>
      <c r="L14" s="14"/>
    </row>
    <row r="15" s="1" customFormat="1" ht="47" customHeight="1" spans="1:12">
      <c r="A15" s="22">
        <v>2</v>
      </c>
      <c r="B15" s="22" t="s">
        <v>65</v>
      </c>
      <c r="C15" s="22" t="s">
        <v>66</v>
      </c>
      <c r="D15" s="22" t="s">
        <v>45</v>
      </c>
      <c r="E15" s="24">
        <v>43300</v>
      </c>
      <c r="F15" s="24">
        <v>43300</v>
      </c>
      <c r="G15" s="22" t="s">
        <v>46</v>
      </c>
      <c r="H15" s="22" t="s">
        <v>64</v>
      </c>
      <c r="I15" s="14"/>
      <c r="J15" s="15"/>
      <c r="K15" s="16"/>
      <c r="L15" s="14"/>
    </row>
    <row r="16" s="1" customFormat="1" ht="37" customHeight="1" spans="1:12">
      <c r="A16" s="22">
        <v>3</v>
      </c>
      <c r="B16" s="22" t="s">
        <v>67</v>
      </c>
      <c r="C16" s="22" t="s">
        <v>66</v>
      </c>
      <c r="D16" s="22" t="s">
        <v>45</v>
      </c>
      <c r="E16" s="24">
        <v>19600</v>
      </c>
      <c r="F16" s="24">
        <v>19600</v>
      </c>
      <c r="G16" s="22" t="s">
        <v>46</v>
      </c>
      <c r="H16" s="22" t="s">
        <v>68</v>
      </c>
      <c r="I16" s="14"/>
      <c r="J16" s="15"/>
      <c r="K16" s="16"/>
      <c r="L16" s="14"/>
    </row>
    <row r="17" s="1" customFormat="1" ht="37" customHeight="1" spans="1:12">
      <c r="A17" s="22">
        <v>4</v>
      </c>
      <c r="B17" s="25" t="s">
        <v>52</v>
      </c>
      <c r="C17" s="23"/>
      <c r="D17" s="22" t="s">
        <v>53</v>
      </c>
      <c r="E17" s="24">
        <v>54200</v>
      </c>
      <c r="F17" s="24">
        <v>54200</v>
      </c>
      <c r="G17" s="22"/>
      <c r="H17" s="22"/>
      <c r="I17" s="14"/>
      <c r="J17" s="15"/>
      <c r="K17" s="16"/>
      <c r="L17" s="14"/>
    </row>
    <row r="18" s="1" customFormat="1" ht="52" customHeight="1" spans="1:12">
      <c r="A18" s="22">
        <v>5</v>
      </c>
      <c r="B18" s="25" t="s">
        <v>54</v>
      </c>
      <c r="C18" s="23"/>
      <c r="D18" s="22" t="s">
        <v>53</v>
      </c>
      <c r="E18" s="24">
        <v>29000</v>
      </c>
      <c r="F18" s="24">
        <v>29000</v>
      </c>
      <c r="G18" s="22" t="s">
        <v>46</v>
      </c>
      <c r="H18" s="22"/>
      <c r="I18" s="14"/>
      <c r="J18" s="15"/>
      <c r="K18" s="16"/>
      <c r="L18" s="14"/>
    </row>
    <row r="19" s="1" customFormat="1" ht="37" customHeight="1" spans="1:12">
      <c r="A19" s="19" t="s">
        <v>69</v>
      </c>
      <c r="B19" s="19" t="s">
        <v>70</v>
      </c>
      <c r="C19" s="20"/>
      <c r="D19" s="19" t="s">
        <v>45</v>
      </c>
      <c r="E19" s="28">
        <f>SUM(F20:F31)</f>
        <v>456600</v>
      </c>
      <c r="F19" s="28"/>
      <c r="G19" s="19" t="s">
        <v>46</v>
      </c>
      <c r="H19" s="19"/>
      <c r="I19" s="14"/>
      <c r="J19" s="15"/>
      <c r="K19" s="16"/>
      <c r="L19" s="14"/>
    </row>
    <row r="20" s="1" customFormat="1" ht="37" customHeight="1" spans="1:12">
      <c r="A20" s="22">
        <v>1</v>
      </c>
      <c r="B20" s="22" t="s">
        <v>71</v>
      </c>
      <c r="C20" s="22"/>
      <c r="D20" s="22" t="s">
        <v>45</v>
      </c>
      <c r="E20" s="24">
        <v>21300</v>
      </c>
      <c r="F20" s="24">
        <v>21300</v>
      </c>
      <c r="G20" s="22" t="s">
        <v>58</v>
      </c>
      <c r="H20" s="22" t="s">
        <v>72</v>
      </c>
      <c r="I20" s="14"/>
      <c r="J20" s="15"/>
      <c r="K20" s="16"/>
      <c r="L20" s="14"/>
    </row>
    <row r="21" s="1" customFormat="1" ht="37" customHeight="1" spans="1:12">
      <c r="A21" s="22">
        <v>2</v>
      </c>
      <c r="B21" s="22" t="s">
        <v>73</v>
      </c>
      <c r="C21" s="23" t="s">
        <v>48</v>
      </c>
      <c r="D21" s="22" t="s">
        <v>45</v>
      </c>
      <c r="E21" s="24">
        <v>9800</v>
      </c>
      <c r="F21" s="24">
        <v>9800</v>
      </c>
      <c r="G21" s="22" t="s">
        <v>46</v>
      </c>
      <c r="H21" s="22"/>
      <c r="I21" s="14"/>
      <c r="J21" s="15"/>
      <c r="K21" s="16"/>
      <c r="L21" s="14"/>
    </row>
    <row r="22" s="1" customFormat="1" ht="37" customHeight="1" spans="1:12">
      <c r="A22" s="22">
        <v>3</v>
      </c>
      <c r="B22" s="22" t="s">
        <v>74</v>
      </c>
      <c r="C22" s="22"/>
      <c r="D22" s="22" t="s">
        <v>57</v>
      </c>
      <c r="E22" s="24">
        <v>37000</v>
      </c>
      <c r="F22" s="24">
        <v>74000</v>
      </c>
      <c r="G22" s="22" t="s">
        <v>58</v>
      </c>
      <c r="H22" s="22" t="s">
        <v>75</v>
      </c>
      <c r="I22" s="14"/>
      <c r="J22" s="15"/>
      <c r="K22" s="16"/>
      <c r="L22" s="14"/>
    </row>
    <row r="23" s="1" customFormat="1" ht="37" customHeight="1" spans="1:12">
      <c r="A23" s="22">
        <v>4</v>
      </c>
      <c r="B23" s="22" t="s">
        <v>76</v>
      </c>
      <c r="C23" s="22" t="s">
        <v>66</v>
      </c>
      <c r="D23" s="22" t="s">
        <v>45</v>
      </c>
      <c r="E23" s="24">
        <v>25900</v>
      </c>
      <c r="F23" s="24">
        <v>25900</v>
      </c>
      <c r="G23" s="22" t="s">
        <v>77</v>
      </c>
      <c r="H23" s="22" t="s">
        <v>78</v>
      </c>
      <c r="I23" s="14"/>
      <c r="J23" s="15"/>
      <c r="K23" s="16"/>
      <c r="L23" s="14"/>
    </row>
    <row r="24" s="1" customFormat="1" ht="37" customHeight="1" spans="1:12">
      <c r="A24" s="22">
        <v>5</v>
      </c>
      <c r="B24" s="22" t="s">
        <v>79</v>
      </c>
      <c r="C24" s="22"/>
      <c r="D24" s="22" t="s">
        <v>45</v>
      </c>
      <c r="E24" s="24">
        <v>70900</v>
      </c>
      <c r="F24" s="24">
        <v>70900</v>
      </c>
      <c r="G24" s="22" t="s">
        <v>58</v>
      </c>
      <c r="H24" s="22" t="s">
        <v>80</v>
      </c>
      <c r="I24" s="14"/>
      <c r="J24" s="15"/>
      <c r="K24" s="16"/>
      <c r="L24" s="14"/>
    </row>
    <row r="25" s="1" customFormat="1" ht="37" customHeight="1" spans="1:12">
      <c r="A25" s="22">
        <v>6</v>
      </c>
      <c r="B25" s="22" t="s">
        <v>81</v>
      </c>
      <c r="C25" s="22" t="s">
        <v>66</v>
      </c>
      <c r="D25" s="22" t="s">
        <v>45</v>
      </c>
      <c r="E25" s="24">
        <v>7600</v>
      </c>
      <c r="F25" s="24">
        <v>7600</v>
      </c>
      <c r="G25" s="22" t="s">
        <v>46</v>
      </c>
      <c r="H25" s="22"/>
      <c r="I25" s="14"/>
      <c r="J25" s="15"/>
      <c r="K25" s="16"/>
      <c r="L25" s="14"/>
    </row>
    <row r="26" s="1" customFormat="1" ht="37" customHeight="1" spans="1:12">
      <c r="A26" s="22">
        <v>7</v>
      </c>
      <c r="B26" s="22" t="s">
        <v>82</v>
      </c>
      <c r="C26" s="22" t="s">
        <v>66</v>
      </c>
      <c r="D26" s="22" t="s">
        <v>45</v>
      </c>
      <c r="E26" s="24">
        <v>7600</v>
      </c>
      <c r="F26" s="24">
        <v>7600</v>
      </c>
      <c r="G26" s="22" t="s">
        <v>46</v>
      </c>
      <c r="H26" s="22" t="s">
        <v>49</v>
      </c>
      <c r="I26" s="14"/>
      <c r="J26" s="15"/>
      <c r="K26" s="16"/>
      <c r="L26" s="14"/>
    </row>
    <row r="27" s="1" customFormat="1" ht="37" customHeight="1" spans="1:12">
      <c r="A27" s="22">
        <v>8</v>
      </c>
      <c r="B27" s="22" t="s">
        <v>83</v>
      </c>
      <c r="C27" s="22" t="s">
        <v>66</v>
      </c>
      <c r="D27" s="22" t="s">
        <v>45</v>
      </c>
      <c r="E27" s="24">
        <v>35000</v>
      </c>
      <c r="F27" s="24">
        <v>35000</v>
      </c>
      <c r="G27" s="22" t="s">
        <v>58</v>
      </c>
      <c r="H27" s="22" t="s">
        <v>80</v>
      </c>
      <c r="I27" s="14"/>
      <c r="J27" s="15"/>
      <c r="K27" s="16"/>
      <c r="L27" s="14"/>
    </row>
    <row r="28" s="1" customFormat="1" ht="37" customHeight="1" spans="1:12">
      <c r="A28" s="22">
        <v>9</v>
      </c>
      <c r="B28" s="22" t="s">
        <v>84</v>
      </c>
      <c r="C28" s="22" t="s">
        <v>66</v>
      </c>
      <c r="D28" s="22" t="s">
        <v>45</v>
      </c>
      <c r="E28" s="24">
        <v>8700</v>
      </c>
      <c r="F28" s="24">
        <v>8700</v>
      </c>
      <c r="G28" s="22" t="s">
        <v>46</v>
      </c>
      <c r="H28" s="22"/>
      <c r="I28" s="14"/>
      <c r="J28" s="15"/>
      <c r="K28" s="16"/>
      <c r="L28" s="14"/>
    </row>
    <row r="29" s="1" customFormat="1" ht="37" customHeight="1" spans="1:12">
      <c r="A29" s="22">
        <v>10</v>
      </c>
      <c r="B29" s="22" t="s">
        <v>85</v>
      </c>
      <c r="C29" s="23" t="s">
        <v>48</v>
      </c>
      <c r="D29" s="22" t="s">
        <v>45</v>
      </c>
      <c r="E29" s="24">
        <v>14000</v>
      </c>
      <c r="F29" s="24">
        <v>14000</v>
      </c>
      <c r="G29" s="22" t="s">
        <v>46</v>
      </c>
      <c r="H29" s="22"/>
      <c r="I29" s="14"/>
      <c r="J29" s="15"/>
      <c r="K29" s="16"/>
      <c r="L29" s="14"/>
    </row>
    <row r="30" s="1" customFormat="1" ht="37" customHeight="1" spans="1:12">
      <c r="A30" s="22">
        <v>11</v>
      </c>
      <c r="B30" s="25" t="s">
        <v>52</v>
      </c>
      <c r="C30" s="23"/>
      <c r="D30" s="22" t="s">
        <v>53</v>
      </c>
      <c r="E30" s="24">
        <v>127300</v>
      </c>
      <c r="F30" s="24">
        <v>127300</v>
      </c>
      <c r="G30" s="22"/>
      <c r="H30" s="22"/>
      <c r="I30" s="14"/>
      <c r="J30" s="15"/>
      <c r="K30" s="16"/>
      <c r="L30" s="14"/>
    </row>
    <row r="31" s="1" customFormat="1" ht="52" customHeight="1" spans="1:12">
      <c r="A31" s="22">
        <v>12</v>
      </c>
      <c r="B31" s="25" t="s">
        <v>54</v>
      </c>
      <c r="C31" s="23"/>
      <c r="D31" s="22" t="s">
        <v>53</v>
      </c>
      <c r="E31" s="24">
        <v>54500</v>
      </c>
      <c r="F31" s="24">
        <v>54500</v>
      </c>
      <c r="G31" s="22" t="s">
        <v>46</v>
      </c>
      <c r="H31" s="29"/>
      <c r="I31" s="14"/>
      <c r="J31" s="15"/>
      <c r="K31" s="16"/>
      <c r="L31" s="14"/>
    </row>
    <row r="32" s="1" customFormat="1" ht="37" customHeight="1" spans="1:12">
      <c r="A32" s="11" t="s">
        <v>86</v>
      </c>
      <c r="B32" s="11"/>
      <c r="C32" s="12"/>
      <c r="D32" s="11"/>
      <c r="E32" s="13"/>
      <c r="F32" s="13"/>
      <c r="G32" s="11"/>
      <c r="H32" s="11"/>
      <c r="I32" s="14"/>
      <c r="J32" s="15"/>
      <c r="K32" s="16"/>
      <c r="L32" s="14"/>
    </row>
    <row r="33" s="2" customFormat="1" ht="37" customHeight="1" spans="1:12">
      <c r="A33" s="17" t="s">
        <v>35</v>
      </c>
      <c r="B33" s="17" t="s">
        <v>36</v>
      </c>
      <c r="C33" s="17" t="s">
        <v>37</v>
      </c>
      <c r="D33" s="17" t="s">
        <v>38</v>
      </c>
      <c r="E33" s="18" t="s">
        <v>39</v>
      </c>
      <c r="F33" s="18" t="s">
        <v>40</v>
      </c>
      <c r="G33" s="17" t="s">
        <v>41</v>
      </c>
      <c r="H33" s="17" t="s">
        <v>42</v>
      </c>
      <c r="I33" s="30"/>
      <c r="J33" s="31"/>
      <c r="K33" s="32"/>
      <c r="L33" s="30"/>
    </row>
    <row r="34" s="1" customFormat="1" ht="48" customHeight="1" spans="1:12">
      <c r="A34" s="19" t="s">
        <v>87</v>
      </c>
      <c r="B34" s="19" t="s">
        <v>88</v>
      </c>
      <c r="C34" s="19"/>
      <c r="D34" s="19" t="s">
        <v>45</v>
      </c>
      <c r="E34" s="26">
        <f>SUM(F35:F42)</f>
        <v>318400</v>
      </c>
      <c r="F34" s="27"/>
      <c r="G34" s="19" t="s">
        <v>46</v>
      </c>
      <c r="H34" s="19"/>
      <c r="I34" s="14"/>
      <c r="J34" s="15"/>
      <c r="K34" s="16"/>
      <c r="L34" s="14"/>
    </row>
    <row r="35" s="1" customFormat="1" ht="37" customHeight="1" spans="1:12">
      <c r="A35" s="22">
        <v>1</v>
      </c>
      <c r="B35" s="22" t="s">
        <v>89</v>
      </c>
      <c r="C35" s="23" t="s">
        <v>48</v>
      </c>
      <c r="D35" s="22" t="s">
        <v>90</v>
      </c>
      <c r="E35" s="33">
        <v>40300</v>
      </c>
      <c r="F35" s="34">
        <v>120900</v>
      </c>
      <c r="G35" s="22" t="s">
        <v>46</v>
      </c>
      <c r="H35" s="22" t="s">
        <v>91</v>
      </c>
      <c r="I35" s="14"/>
      <c r="J35" s="15"/>
      <c r="K35" s="16"/>
      <c r="L35" s="14"/>
    </row>
    <row r="36" s="1" customFormat="1" ht="37" customHeight="1" spans="1:12">
      <c r="A36" s="22">
        <v>2</v>
      </c>
      <c r="B36" s="22" t="s">
        <v>92</v>
      </c>
      <c r="C36" s="23" t="s">
        <v>48</v>
      </c>
      <c r="D36" s="22" t="s">
        <v>45</v>
      </c>
      <c r="E36" s="35">
        <v>13000</v>
      </c>
      <c r="F36" s="36">
        <v>13000</v>
      </c>
      <c r="G36" s="22" t="s">
        <v>46</v>
      </c>
      <c r="H36" s="22" t="s">
        <v>68</v>
      </c>
      <c r="I36" s="14"/>
      <c r="J36" s="15"/>
      <c r="K36" s="16"/>
      <c r="L36" s="14"/>
    </row>
    <row r="37" s="1" customFormat="1" ht="37" customHeight="1" spans="1:12">
      <c r="A37" s="22">
        <v>3</v>
      </c>
      <c r="B37" s="22" t="s">
        <v>93</v>
      </c>
      <c r="C37" s="22">
        <v>20</v>
      </c>
      <c r="D37" s="22" t="s">
        <v>45</v>
      </c>
      <c r="E37" s="35">
        <v>18300</v>
      </c>
      <c r="F37" s="36">
        <v>18300</v>
      </c>
      <c r="G37" s="22" t="s">
        <v>58</v>
      </c>
      <c r="H37" s="22" t="s">
        <v>80</v>
      </c>
      <c r="I37" s="14"/>
      <c r="J37" s="15"/>
      <c r="K37" s="16"/>
      <c r="L37" s="14"/>
    </row>
    <row r="38" s="1" customFormat="1" ht="37" customHeight="1" spans="1:12">
      <c r="A38" s="22">
        <v>4</v>
      </c>
      <c r="B38" s="22" t="s">
        <v>94</v>
      </c>
      <c r="C38" s="23" t="s">
        <v>48</v>
      </c>
      <c r="D38" s="22" t="s">
        <v>45</v>
      </c>
      <c r="E38" s="35">
        <v>6300</v>
      </c>
      <c r="F38" s="36">
        <v>6300</v>
      </c>
      <c r="G38" s="22" t="s">
        <v>46</v>
      </c>
      <c r="H38" s="22"/>
      <c r="I38" s="14"/>
      <c r="J38" s="15"/>
      <c r="K38" s="16"/>
      <c r="L38" s="14"/>
    </row>
    <row r="39" s="1" customFormat="1" ht="37" customHeight="1" spans="1:12">
      <c r="A39" s="22">
        <v>5</v>
      </c>
      <c r="B39" s="22" t="s">
        <v>95</v>
      </c>
      <c r="C39" s="23" t="s">
        <v>48</v>
      </c>
      <c r="D39" s="22" t="s">
        <v>57</v>
      </c>
      <c r="E39" s="35">
        <v>3300</v>
      </c>
      <c r="F39" s="36">
        <v>6600</v>
      </c>
      <c r="G39" s="22" t="s">
        <v>46</v>
      </c>
      <c r="H39" s="22" t="s">
        <v>49</v>
      </c>
      <c r="I39" s="14"/>
      <c r="J39" s="15"/>
      <c r="K39" s="16"/>
      <c r="L39" s="14"/>
    </row>
    <row r="40" s="1" customFormat="1" ht="37" customHeight="1" spans="1:12">
      <c r="A40" s="22">
        <v>6</v>
      </c>
      <c r="B40" s="22" t="s">
        <v>96</v>
      </c>
      <c r="C40" s="23" t="s">
        <v>97</v>
      </c>
      <c r="D40" s="22" t="s">
        <v>45</v>
      </c>
      <c r="E40" s="35">
        <v>31300</v>
      </c>
      <c r="F40" s="36">
        <v>31300</v>
      </c>
      <c r="G40" s="22" t="s">
        <v>46</v>
      </c>
      <c r="H40" s="22" t="s">
        <v>98</v>
      </c>
      <c r="I40" s="14"/>
      <c r="J40" s="15"/>
      <c r="K40" s="16"/>
      <c r="L40" s="14"/>
    </row>
    <row r="41" s="1" customFormat="1" ht="37" customHeight="1" spans="1:12">
      <c r="A41" s="22">
        <v>7</v>
      </c>
      <c r="B41" s="25" t="s">
        <v>52</v>
      </c>
      <c r="C41" s="23"/>
      <c r="D41" s="22" t="s">
        <v>53</v>
      </c>
      <c r="E41" s="35">
        <v>87000</v>
      </c>
      <c r="F41" s="36">
        <v>87000</v>
      </c>
      <c r="G41" s="22"/>
      <c r="H41" s="22"/>
      <c r="I41" s="14"/>
      <c r="J41" s="15"/>
      <c r="K41" s="16"/>
      <c r="L41" s="14"/>
    </row>
    <row r="42" s="1" customFormat="1" ht="37" customHeight="1" spans="1:12">
      <c r="A42" s="22">
        <v>8</v>
      </c>
      <c r="B42" s="25" t="s">
        <v>54</v>
      </c>
      <c r="C42" s="23"/>
      <c r="D42" s="22" t="s">
        <v>53</v>
      </c>
      <c r="E42" s="35">
        <v>35000</v>
      </c>
      <c r="F42" s="36">
        <v>35000</v>
      </c>
      <c r="G42" s="22" t="s">
        <v>46</v>
      </c>
      <c r="H42" s="37"/>
      <c r="I42" s="14"/>
      <c r="J42" s="15"/>
      <c r="K42" s="16"/>
      <c r="L42" s="14"/>
    </row>
    <row r="43" s="1" customFormat="1" ht="37" customHeight="1" spans="1:12">
      <c r="A43" s="11" t="s">
        <v>99</v>
      </c>
      <c r="B43" s="38"/>
      <c r="C43" s="2"/>
      <c r="D43" s="38"/>
      <c r="E43" s="30"/>
      <c r="F43" s="30"/>
      <c r="G43" s="38"/>
      <c r="H43" s="38"/>
      <c r="I43" s="14"/>
      <c r="J43" s="15"/>
      <c r="K43" s="16"/>
      <c r="L43" s="14"/>
    </row>
    <row r="44" s="2" customFormat="1" ht="37" customHeight="1" spans="1:12">
      <c r="A44" s="17" t="s">
        <v>35</v>
      </c>
      <c r="B44" s="17" t="s">
        <v>36</v>
      </c>
      <c r="C44" s="17" t="s">
        <v>37</v>
      </c>
      <c r="D44" s="17" t="s">
        <v>38</v>
      </c>
      <c r="E44" s="18" t="s">
        <v>39</v>
      </c>
      <c r="F44" s="18" t="s">
        <v>40</v>
      </c>
      <c r="G44" s="17" t="s">
        <v>41</v>
      </c>
      <c r="H44" s="17" t="s">
        <v>42</v>
      </c>
      <c r="I44" s="30"/>
      <c r="J44" s="31"/>
      <c r="K44" s="32"/>
      <c r="L44" s="30"/>
    </row>
    <row r="45" s="1" customFormat="1" ht="37" customHeight="1" spans="1:12">
      <c r="A45" s="19" t="s">
        <v>100</v>
      </c>
      <c r="B45" s="19" t="s">
        <v>101</v>
      </c>
      <c r="C45" s="19"/>
      <c r="D45" s="19" t="s">
        <v>45</v>
      </c>
      <c r="E45" s="39">
        <v>450100</v>
      </c>
      <c r="F45" s="39">
        <v>450100</v>
      </c>
      <c r="G45" s="19" t="s">
        <v>102</v>
      </c>
      <c r="H45" s="19"/>
      <c r="I45" s="14"/>
      <c r="J45" s="15"/>
      <c r="K45" s="16"/>
      <c r="L45" s="14"/>
    </row>
    <row r="46" s="1" customFormat="1" ht="37" customHeight="1" spans="1:12">
      <c r="A46" s="22">
        <v>1</v>
      </c>
      <c r="B46" s="22" t="s">
        <v>103</v>
      </c>
      <c r="C46" s="22"/>
      <c r="D46" s="22" t="s">
        <v>45</v>
      </c>
      <c r="E46" s="40"/>
      <c r="F46" s="40"/>
      <c r="G46" s="22" t="s">
        <v>102</v>
      </c>
      <c r="H46" s="22" t="s">
        <v>104</v>
      </c>
      <c r="I46" s="14"/>
      <c r="J46" s="15"/>
      <c r="K46" s="16"/>
      <c r="L46" s="14"/>
    </row>
    <row r="47" s="1" customFormat="1" ht="37" customHeight="1" spans="1:12">
      <c r="A47" s="22">
        <v>2</v>
      </c>
      <c r="B47" s="22" t="s">
        <v>105</v>
      </c>
      <c r="C47" s="22"/>
      <c r="D47" s="22" t="s">
        <v>45</v>
      </c>
      <c r="E47" s="40"/>
      <c r="F47" s="40"/>
      <c r="G47" s="22"/>
      <c r="H47" s="22"/>
      <c r="I47" s="14"/>
      <c r="J47" s="15"/>
      <c r="K47" s="16"/>
      <c r="L47" s="14"/>
    </row>
    <row r="48" s="1" customFormat="1" ht="37" customHeight="1" spans="1:12">
      <c r="A48" s="22">
        <v>3</v>
      </c>
      <c r="B48" s="22" t="s">
        <v>106</v>
      </c>
      <c r="C48" s="22"/>
      <c r="D48" s="22" t="s">
        <v>53</v>
      </c>
      <c r="E48" s="40"/>
      <c r="F48" s="40"/>
      <c r="G48" s="22"/>
      <c r="H48" s="22"/>
      <c r="I48" s="14"/>
      <c r="J48" s="15"/>
      <c r="K48" s="16"/>
      <c r="L48" s="14"/>
    </row>
    <row r="49" s="1" customFormat="1" ht="37" customHeight="1" spans="1:12">
      <c r="A49" s="22">
        <v>4</v>
      </c>
      <c r="B49" s="22" t="s">
        <v>107</v>
      </c>
      <c r="C49" s="22"/>
      <c r="D49" s="22" t="s">
        <v>53</v>
      </c>
      <c r="E49" s="40"/>
      <c r="F49" s="40"/>
      <c r="G49" s="22"/>
      <c r="H49" s="22"/>
      <c r="I49" s="14"/>
      <c r="J49" s="15"/>
      <c r="K49" s="16"/>
      <c r="L49" s="14"/>
    </row>
    <row r="50" s="1" customFormat="1" ht="37" customHeight="1" spans="1:12">
      <c r="A50" s="22">
        <v>5</v>
      </c>
      <c r="B50" s="22" t="s">
        <v>108</v>
      </c>
      <c r="C50" s="22"/>
      <c r="D50" s="22" t="s">
        <v>53</v>
      </c>
      <c r="E50" s="40"/>
      <c r="F50" s="40"/>
      <c r="G50" s="22"/>
      <c r="H50" s="22"/>
      <c r="I50" s="14"/>
      <c r="J50" s="15"/>
      <c r="K50" s="16"/>
      <c r="L50" s="14"/>
    </row>
    <row r="51" s="1" customFormat="1" ht="37" customHeight="1" spans="1:12">
      <c r="A51" s="22">
        <v>6</v>
      </c>
      <c r="B51" s="22" t="s">
        <v>109</v>
      </c>
      <c r="C51" s="22"/>
      <c r="D51" s="22" t="s">
        <v>110</v>
      </c>
      <c r="E51" s="40"/>
      <c r="F51" s="40"/>
      <c r="G51" s="22"/>
      <c r="H51" s="22"/>
      <c r="I51" s="14"/>
      <c r="J51" s="15"/>
      <c r="K51" s="16"/>
      <c r="L51" s="14"/>
    </row>
    <row r="52" s="1" customFormat="1" ht="37" customHeight="1" spans="1:12">
      <c r="A52" s="22">
        <v>7</v>
      </c>
      <c r="B52" s="22" t="s">
        <v>111</v>
      </c>
      <c r="C52" s="22"/>
      <c r="D52" s="22" t="s">
        <v>45</v>
      </c>
      <c r="E52" s="40"/>
      <c r="F52" s="40"/>
      <c r="G52" s="22"/>
      <c r="H52" s="22"/>
      <c r="I52" s="14"/>
      <c r="J52" s="15"/>
      <c r="K52" s="16"/>
      <c r="L52" s="14"/>
    </row>
    <row r="53" s="1" customFormat="1" ht="37" customHeight="1" spans="1:12">
      <c r="A53" s="19" t="s">
        <v>112</v>
      </c>
      <c r="B53" s="19" t="s">
        <v>113</v>
      </c>
      <c r="C53" s="22"/>
      <c r="D53" s="19" t="s">
        <v>45</v>
      </c>
      <c r="E53" s="41">
        <v>6300</v>
      </c>
      <c r="F53" s="41">
        <v>6300</v>
      </c>
      <c r="G53" s="19" t="s">
        <v>114</v>
      </c>
      <c r="H53" s="19" t="s">
        <v>115</v>
      </c>
      <c r="I53" s="14"/>
      <c r="J53" s="15"/>
      <c r="K53" s="16"/>
      <c r="L53" s="14"/>
    </row>
    <row r="54" s="1" customFormat="1" ht="37" customHeight="1" spans="1:12">
      <c r="A54" s="19" t="s">
        <v>116</v>
      </c>
      <c r="B54" s="19" t="s">
        <v>117</v>
      </c>
      <c r="C54" s="22"/>
      <c r="D54" s="19" t="s">
        <v>45</v>
      </c>
      <c r="E54" s="41">
        <v>6100</v>
      </c>
      <c r="F54" s="41">
        <v>6100</v>
      </c>
      <c r="G54" s="19" t="s">
        <v>114</v>
      </c>
      <c r="H54" s="37"/>
      <c r="I54" s="14"/>
      <c r="J54" s="15"/>
      <c r="K54" s="16"/>
      <c r="L54" s="14"/>
    </row>
    <row r="55" s="1" customFormat="1" ht="37" customHeight="1" spans="1:12">
      <c r="A55" s="11" t="s">
        <v>118</v>
      </c>
      <c r="B55" s="11"/>
      <c r="C55" s="12"/>
      <c r="D55" s="11"/>
      <c r="E55" s="13"/>
      <c r="F55" s="13"/>
      <c r="G55" s="11"/>
      <c r="H55" s="11"/>
      <c r="I55" s="14"/>
      <c r="J55" s="15"/>
      <c r="K55" s="16"/>
      <c r="L55" s="14"/>
    </row>
    <row r="56" s="2" customFormat="1" ht="37" customHeight="1" spans="1:12">
      <c r="A56" s="17" t="s">
        <v>35</v>
      </c>
      <c r="B56" s="17" t="s">
        <v>36</v>
      </c>
      <c r="C56" s="17" t="s">
        <v>37</v>
      </c>
      <c r="D56" s="17" t="s">
        <v>38</v>
      </c>
      <c r="E56" s="18" t="s">
        <v>39</v>
      </c>
      <c r="F56" s="18" t="s">
        <v>40</v>
      </c>
      <c r="G56" s="17" t="s">
        <v>41</v>
      </c>
      <c r="H56" s="17" t="s">
        <v>42</v>
      </c>
      <c r="I56" s="30"/>
      <c r="J56" s="31"/>
      <c r="K56" s="32"/>
      <c r="L56" s="30"/>
    </row>
    <row r="57" s="1" customFormat="1" ht="37" customHeight="1" spans="1:12">
      <c r="A57" s="19" t="s">
        <v>119</v>
      </c>
      <c r="B57" s="19" t="s">
        <v>120</v>
      </c>
      <c r="C57" s="19"/>
      <c r="D57" s="19" t="s">
        <v>45</v>
      </c>
      <c r="E57" s="33">
        <v>589300</v>
      </c>
      <c r="F57" s="34">
        <v>589300</v>
      </c>
      <c r="G57" s="19" t="s">
        <v>114</v>
      </c>
      <c r="H57" s="19" t="s">
        <v>121</v>
      </c>
      <c r="I57" s="14"/>
      <c r="J57" s="15"/>
      <c r="K57" s="16"/>
      <c r="L57" s="14"/>
    </row>
    <row r="58" s="1" customFormat="1" ht="37" customHeight="1" spans="1:12">
      <c r="A58" s="19" t="s">
        <v>122</v>
      </c>
      <c r="B58" s="19" t="s">
        <v>123</v>
      </c>
      <c r="C58" s="19"/>
      <c r="D58" s="19" t="s">
        <v>45</v>
      </c>
      <c r="E58" s="35">
        <v>577000</v>
      </c>
      <c r="F58" s="36">
        <v>577000</v>
      </c>
      <c r="G58" s="19" t="s">
        <v>114</v>
      </c>
      <c r="H58" s="19" t="s">
        <v>121</v>
      </c>
      <c r="I58" s="14"/>
      <c r="J58" s="15"/>
      <c r="K58" s="16"/>
      <c r="L58" s="14"/>
    </row>
    <row r="59" s="1" customFormat="1" ht="37" customHeight="1" spans="1:12">
      <c r="A59" s="11" t="s">
        <v>124</v>
      </c>
      <c r="B59" s="11"/>
      <c r="C59" s="12"/>
      <c r="D59" s="11"/>
      <c r="E59" s="13"/>
      <c r="F59" s="13"/>
      <c r="G59" s="11"/>
      <c r="H59" s="11"/>
      <c r="I59" s="14"/>
      <c r="J59" s="15"/>
      <c r="K59" s="16"/>
      <c r="L59" s="14"/>
    </row>
    <row r="60" s="1" customFormat="1" ht="37" customHeight="1" spans="1:12">
      <c r="A60" s="19" t="s">
        <v>125</v>
      </c>
      <c r="B60" s="19" t="s">
        <v>126</v>
      </c>
      <c r="C60" s="19"/>
      <c r="D60" s="19" t="s">
        <v>45</v>
      </c>
      <c r="E60" s="26">
        <f>SUM(F61:F65)</f>
        <v>50800</v>
      </c>
      <c r="F60" s="27"/>
      <c r="G60" s="19" t="s">
        <v>46</v>
      </c>
      <c r="H60" s="19"/>
      <c r="I60" s="14"/>
      <c r="J60" s="15"/>
      <c r="K60" s="16"/>
      <c r="L60" s="14"/>
    </row>
    <row r="61" s="1" customFormat="1" ht="37" customHeight="1" spans="1:12">
      <c r="A61" s="42">
        <v>1</v>
      </c>
      <c r="B61" s="42" t="s">
        <v>127</v>
      </c>
      <c r="C61" s="42"/>
      <c r="D61" s="42" t="s">
        <v>45</v>
      </c>
      <c r="E61" s="24">
        <v>20400</v>
      </c>
      <c r="F61" s="24">
        <v>20400</v>
      </c>
      <c r="G61" s="42" t="s">
        <v>114</v>
      </c>
      <c r="H61" s="42"/>
      <c r="I61" s="14"/>
      <c r="J61" s="15"/>
      <c r="K61" s="16"/>
      <c r="L61" s="14"/>
    </row>
    <row r="62" s="1" customFormat="1" ht="37" customHeight="1" spans="1:12">
      <c r="A62" s="42">
        <v>2</v>
      </c>
      <c r="B62" s="42" t="s">
        <v>128</v>
      </c>
      <c r="C62" s="42"/>
      <c r="D62" s="42" t="s">
        <v>45</v>
      </c>
      <c r="E62" s="24">
        <v>1100</v>
      </c>
      <c r="F62" s="24">
        <v>1100</v>
      </c>
      <c r="G62" s="42" t="s">
        <v>114</v>
      </c>
      <c r="H62" s="42" t="s">
        <v>129</v>
      </c>
      <c r="I62" s="14"/>
      <c r="J62" s="15"/>
      <c r="K62" s="16"/>
      <c r="L62" s="14"/>
    </row>
    <row r="63" s="1" customFormat="1" ht="37" customHeight="1" spans="1:12">
      <c r="A63" s="42">
        <v>3</v>
      </c>
      <c r="B63" s="25" t="s">
        <v>52</v>
      </c>
      <c r="C63" s="42"/>
      <c r="D63" s="42" t="s">
        <v>53</v>
      </c>
      <c r="E63" s="24">
        <v>13100</v>
      </c>
      <c r="F63" s="24">
        <v>13100</v>
      </c>
      <c r="G63" s="42"/>
      <c r="H63" s="42"/>
      <c r="I63" s="14"/>
      <c r="J63" s="15"/>
      <c r="K63" s="16"/>
      <c r="L63" s="14"/>
    </row>
    <row r="64" s="1" customFormat="1" ht="37" customHeight="1" spans="1:12">
      <c r="A64" s="42">
        <v>4</v>
      </c>
      <c r="B64" s="25" t="s">
        <v>54</v>
      </c>
      <c r="C64" s="42"/>
      <c r="D64" s="42" t="s">
        <v>53</v>
      </c>
      <c r="E64" s="24">
        <v>4200</v>
      </c>
      <c r="F64" s="24">
        <v>4200</v>
      </c>
      <c r="G64" s="42"/>
      <c r="H64" s="42"/>
      <c r="I64" s="14"/>
      <c r="J64" s="15"/>
      <c r="K64" s="16"/>
      <c r="L64" s="14"/>
    </row>
    <row r="65" s="1" customFormat="1" ht="37" customHeight="1" spans="1:12">
      <c r="A65" s="42">
        <v>5</v>
      </c>
      <c r="B65" s="42" t="s">
        <v>130</v>
      </c>
      <c r="C65" s="42"/>
      <c r="D65" s="42" t="s">
        <v>53</v>
      </c>
      <c r="E65" s="43">
        <v>12000</v>
      </c>
      <c r="F65" s="43">
        <v>12000</v>
      </c>
      <c r="G65" s="42" t="s">
        <v>114</v>
      </c>
      <c r="H65" s="42" t="s">
        <v>131</v>
      </c>
      <c r="I65" s="14"/>
      <c r="J65" s="15"/>
      <c r="K65" s="16"/>
      <c r="L65" s="14"/>
    </row>
    <row r="66" s="1" customFormat="1" ht="49" customHeight="1" spans="1:12">
      <c r="A66" s="19" t="s">
        <v>132</v>
      </c>
      <c r="B66" s="19" t="s">
        <v>133</v>
      </c>
      <c r="C66" s="19"/>
      <c r="D66" s="19" t="s">
        <v>45</v>
      </c>
      <c r="E66" s="26">
        <f>SUM(F67:F70)</f>
        <v>45500</v>
      </c>
      <c r="F66" s="27"/>
      <c r="G66" s="19" t="s">
        <v>46</v>
      </c>
      <c r="H66" s="19"/>
      <c r="I66" s="14"/>
      <c r="J66" s="15"/>
      <c r="K66" s="16"/>
      <c r="L66" s="14"/>
    </row>
    <row r="67" s="1" customFormat="1" ht="37" customHeight="1" spans="1:12">
      <c r="A67" s="42">
        <v>1</v>
      </c>
      <c r="B67" s="42" t="s">
        <v>134</v>
      </c>
      <c r="C67" s="42"/>
      <c r="D67" s="42" t="s">
        <v>45</v>
      </c>
      <c r="E67" s="33">
        <v>29000</v>
      </c>
      <c r="F67" s="34">
        <v>29000</v>
      </c>
      <c r="G67" s="42" t="s">
        <v>114</v>
      </c>
      <c r="H67" s="42" t="s">
        <v>135</v>
      </c>
      <c r="I67" s="14"/>
      <c r="J67" s="15"/>
      <c r="K67" s="16"/>
      <c r="L67" s="14"/>
    </row>
    <row r="68" s="1" customFormat="1" ht="37" customHeight="1" spans="1:12">
      <c r="A68" s="42">
        <v>2</v>
      </c>
      <c r="B68" s="42" t="s">
        <v>136</v>
      </c>
      <c r="C68" s="42"/>
      <c r="D68" s="42" t="s">
        <v>45</v>
      </c>
      <c r="E68" s="35">
        <v>1600</v>
      </c>
      <c r="F68" s="36">
        <v>1600</v>
      </c>
      <c r="G68" s="42" t="s">
        <v>114</v>
      </c>
      <c r="H68" s="42" t="s">
        <v>137</v>
      </c>
      <c r="I68" s="14"/>
      <c r="J68" s="15"/>
      <c r="K68" s="16"/>
      <c r="L68" s="14"/>
    </row>
    <row r="69" s="1" customFormat="1" ht="37" customHeight="1" spans="1:12">
      <c r="A69" s="42">
        <v>3</v>
      </c>
      <c r="B69" s="25" t="s">
        <v>52</v>
      </c>
      <c r="C69" s="42"/>
      <c r="D69" s="42" t="s">
        <v>53</v>
      </c>
      <c r="E69" s="35">
        <v>11000</v>
      </c>
      <c r="F69" s="36">
        <v>11000</v>
      </c>
      <c r="G69" s="42"/>
      <c r="H69" s="42"/>
      <c r="I69" s="14"/>
      <c r="J69" s="15"/>
      <c r="K69" s="16"/>
      <c r="L69" s="14"/>
    </row>
    <row r="70" s="1" customFormat="1" ht="37" customHeight="1" spans="1:12">
      <c r="A70" s="42">
        <v>4</v>
      </c>
      <c r="B70" s="25" t="s">
        <v>54</v>
      </c>
      <c r="C70" s="42"/>
      <c r="D70" s="42" t="s">
        <v>53</v>
      </c>
      <c r="E70" s="35">
        <v>3900</v>
      </c>
      <c r="F70" s="36">
        <v>3900</v>
      </c>
      <c r="G70" s="42"/>
      <c r="H70" s="42"/>
      <c r="I70" s="14"/>
      <c r="J70" s="15"/>
      <c r="K70" s="16"/>
      <c r="L70" s="14"/>
    </row>
    <row r="71" s="1" customFormat="1" ht="37" customHeight="1" spans="1:12">
      <c r="A71" s="44" t="s">
        <v>138</v>
      </c>
      <c r="B71" s="44" t="s">
        <v>139</v>
      </c>
      <c r="C71" s="44"/>
      <c r="D71" s="44" t="s">
        <v>45</v>
      </c>
      <c r="E71" s="45">
        <f>SUM(F72:F77)</f>
        <v>24400</v>
      </c>
      <c r="F71" s="46"/>
      <c r="G71" s="44" t="s">
        <v>46</v>
      </c>
      <c r="H71" s="44"/>
      <c r="I71" s="14"/>
      <c r="J71" s="15"/>
      <c r="K71" s="16"/>
      <c r="L71" s="14"/>
    </row>
    <row r="72" s="1" customFormat="1" ht="37" customHeight="1" spans="1:12">
      <c r="A72" s="42">
        <v>1</v>
      </c>
      <c r="B72" s="42" t="s">
        <v>140</v>
      </c>
      <c r="C72" s="42" t="s">
        <v>48</v>
      </c>
      <c r="D72" s="42" t="s">
        <v>45</v>
      </c>
      <c r="E72" s="33">
        <v>11000</v>
      </c>
      <c r="F72" s="34">
        <v>11000</v>
      </c>
      <c r="G72" s="42" t="s">
        <v>46</v>
      </c>
      <c r="H72" s="42" t="s">
        <v>141</v>
      </c>
      <c r="I72" s="14"/>
      <c r="J72" s="15"/>
      <c r="K72" s="16"/>
      <c r="L72" s="14"/>
    </row>
    <row r="73" s="1" customFormat="1" ht="37" customHeight="1" spans="1:12">
      <c r="A73" s="42">
        <v>2</v>
      </c>
      <c r="B73" s="42" t="s">
        <v>142</v>
      </c>
      <c r="C73" s="42"/>
      <c r="D73" s="42" t="s">
        <v>45</v>
      </c>
      <c r="E73" s="35">
        <v>3300</v>
      </c>
      <c r="F73" s="36">
        <v>3300</v>
      </c>
      <c r="G73" s="42" t="s">
        <v>114</v>
      </c>
      <c r="H73" s="42"/>
      <c r="I73" s="14"/>
      <c r="J73" s="15"/>
      <c r="K73" s="16"/>
      <c r="L73" s="14"/>
    </row>
    <row r="74" s="1" customFormat="1" ht="37" customHeight="1" spans="1:12">
      <c r="A74" s="42">
        <v>3</v>
      </c>
      <c r="B74" s="42" t="s">
        <v>143</v>
      </c>
      <c r="C74" s="42" t="s">
        <v>48</v>
      </c>
      <c r="D74" s="42" t="s">
        <v>45</v>
      </c>
      <c r="E74" s="35">
        <v>2200</v>
      </c>
      <c r="F74" s="36">
        <v>2200</v>
      </c>
      <c r="G74" s="42" t="s">
        <v>46</v>
      </c>
      <c r="H74" s="42"/>
      <c r="I74" s="14"/>
      <c r="J74" s="15"/>
      <c r="K74" s="16"/>
      <c r="L74" s="14"/>
    </row>
    <row r="75" s="1" customFormat="1" ht="37" customHeight="1" spans="1:12">
      <c r="A75" s="42">
        <v>4</v>
      </c>
      <c r="B75" s="25" t="s">
        <v>52</v>
      </c>
      <c r="C75" s="44"/>
      <c r="D75" s="42" t="s">
        <v>53</v>
      </c>
      <c r="E75" s="35">
        <v>2600</v>
      </c>
      <c r="F75" s="36">
        <v>2600</v>
      </c>
      <c r="G75" s="44"/>
      <c r="H75" s="44"/>
      <c r="I75" s="14"/>
      <c r="J75" s="15"/>
      <c r="K75" s="16"/>
      <c r="L75" s="14"/>
    </row>
    <row r="76" s="1" customFormat="1" ht="37" customHeight="1" spans="1:12">
      <c r="A76" s="42">
        <v>5</v>
      </c>
      <c r="B76" s="25" t="s">
        <v>54</v>
      </c>
      <c r="C76" s="44"/>
      <c r="D76" s="42" t="s">
        <v>53</v>
      </c>
      <c r="E76" s="35">
        <v>1300</v>
      </c>
      <c r="F76" s="36">
        <v>1300</v>
      </c>
      <c r="G76" s="44"/>
      <c r="H76" s="44"/>
      <c r="I76" s="14"/>
      <c r="J76" s="15"/>
      <c r="K76" s="16"/>
      <c r="L76" s="14"/>
    </row>
    <row r="77" s="1" customFormat="1" ht="37" customHeight="1" spans="1:12">
      <c r="A77" s="42">
        <v>6</v>
      </c>
      <c r="B77" s="42" t="s">
        <v>144</v>
      </c>
      <c r="C77" s="44"/>
      <c r="D77" s="42" t="s">
        <v>53</v>
      </c>
      <c r="E77" s="35">
        <v>4000</v>
      </c>
      <c r="F77" s="36">
        <v>4000</v>
      </c>
      <c r="G77" s="42" t="s">
        <v>114</v>
      </c>
      <c r="H77" s="42" t="s">
        <v>145</v>
      </c>
      <c r="I77" s="14"/>
      <c r="J77" s="15"/>
      <c r="K77" s="16"/>
      <c r="L77" s="14"/>
    </row>
    <row r="78" s="1" customFormat="1" ht="37" customHeight="1" spans="1:12">
      <c r="A78" s="44" t="s">
        <v>146</v>
      </c>
      <c r="B78" s="44" t="s">
        <v>147</v>
      </c>
      <c r="C78" s="44"/>
      <c r="D78" s="44" t="s">
        <v>45</v>
      </c>
      <c r="E78" s="45">
        <f>SUM(F79:F84)</f>
        <v>24300</v>
      </c>
      <c r="F78" s="46"/>
      <c r="G78" s="44" t="s">
        <v>46</v>
      </c>
      <c r="H78" s="44"/>
      <c r="I78" s="14"/>
      <c r="J78" s="15"/>
      <c r="K78" s="16"/>
      <c r="L78" s="14"/>
    </row>
    <row r="79" s="1" customFormat="1" ht="37" customHeight="1" spans="1:12">
      <c r="A79" s="42">
        <v>1</v>
      </c>
      <c r="B79" s="42" t="s">
        <v>148</v>
      </c>
      <c r="C79" s="42" t="s">
        <v>48</v>
      </c>
      <c r="D79" s="42" t="s">
        <v>45</v>
      </c>
      <c r="E79" s="33">
        <v>11000</v>
      </c>
      <c r="F79" s="34">
        <v>11000</v>
      </c>
      <c r="G79" s="42" t="s">
        <v>46</v>
      </c>
      <c r="H79" s="42" t="s">
        <v>141</v>
      </c>
      <c r="I79" s="14"/>
      <c r="J79" s="15"/>
      <c r="K79" s="16"/>
      <c r="L79" s="14"/>
    </row>
    <row r="80" s="1" customFormat="1" ht="37" customHeight="1" spans="1:12">
      <c r="A80" s="42">
        <v>2</v>
      </c>
      <c r="B80" s="42" t="s">
        <v>149</v>
      </c>
      <c r="C80" s="42"/>
      <c r="D80" s="42" t="s">
        <v>45</v>
      </c>
      <c r="E80" s="35">
        <v>3200</v>
      </c>
      <c r="F80" s="36">
        <v>3200</v>
      </c>
      <c r="G80" s="42" t="s">
        <v>114</v>
      </c>
      <c r="H80" s="44"/>
      <c r="I80" s="14"/>
      <c r="J80" s="15"/>
      <c r="K80" s="16"/>
      <c r="L80" s="14"/>
    </row>
    <row r="81" s="1" customFormat="1" ht="37" customHeight="1" spans="1:12">
      <c r="A81" s="42">
        <v>3</v>
      </c>
      <c r="B81" s="42" t="s">
        <v>150</v>
      </c>
      <c r="C81" s="42" t="s">
        <v>48</v>
      </c>
      <c r="D81" s="42" t="s">
        <v>45</v>
      </c>
      <c r="E81" s="35">
        <v>2200</v>
      </c>
      <c r="F81" s="36">
        <v>2200</v>
      </c>
      <c r="G81" s="42" t="s">
        <v>46</v>
      </c>
      <c r="H81" s="44"/>
      <c r="I81" s="14"/>
      <c r="J81" s="15"/>
      <c r="K81" s="16"/>
      <c r="L81" s="14"/>
    </row>
    <row r="82" s="1" customFormat="1" ht="37" customHeight="1" spans="1:12">
      <c r="A82" s="42">
        <v>4</v>
      </c>
      <c r="B82" s="25" t="s">
        <v>52</v>
      </c>
      <c r="C82" s="42"/>
      <c r="D82" s="42" t="s">
        <v>53</v>
      </c>
      <c r="E82" s="35">
        <v>2600</v>
      </c>
      <c r="F82" s="36">
        <v>2600</v>
      </c>
      <c r="G82" s="44"/>
      <c r="H82" s="44"/>
      <c r="I82" s="14"/>
      <c r="J82" s="15"/>
      <c r="K82" s="16"/>
      <c r="L82" s="14"/>
    </row>
    <row r="83" s="1" customFormat="1" ht="37" customHeight="1" spans="1:12">
      <c r="A83" s="42">
        <v>5</v>
      </c>
      <c r="B83" s="25" t="s">
        <v>54</v>
      </c>
      <c r="C83" s="42"/>
      <c r="D83" s="42" t="s">
        <v>53</v>
      </c>
      <c r="E83" s="35">
        <v>1300</v>
      </c>
      <c r="F83" s="36">
        <v>1300</v>
      </c>
      <c r="G83" s="44"/>
      <c r="H83" s="44"/>
      <c r="I83" s="14"/>
      <c r="J83" s="15"/>
      <c r="K83" s="16"/>
      <c r="L83" s="14"/>
    </row>
    <row r="84" s="1" customFormat="1" ht="37" customHeight="1" spans="1:12">
      <c r="A84" s="42">
        <v>6</v>
      </c>
      <c r="B84" s="42" t="s">
        <v>151</v>
      </c>
      <c r="C84" s="42"/>
      <c r="D84" s="42" t="s">
        <v>53</v>
      </c>
      <c r="E84" s="35">
        <v>4000</v>
      </c>
      <c r="F84" s="36">
        <v>4000</v>
      </c>
      <c r="G84" s="42" t="s">
        <v>114</v>
      </c>
      <c r="H84" s="42" t="s">
        <v>131</v>
      </c>
      <c r="I84" s="14"/>
      <c r="J84" s="15"/>
      <c r="K84" s="16"/>
      <c r="L84" s="14"/>
    </row>
    <row r="85" s="1" customFormat="1" ht="37" customHeight="1" spans="1:12">
      <c r="A85" s="44" t="s">
        <v>152</v>
      </c>
      <c r="B85" s="44" t="s">
        <v>153</v>
      </c>
      <c r="C85" s="44"/>
      <c r="D85" s="44" t="s">
        <v>45</v>
      </c>
      <c r="E85" s="45">
        <f>SUM(F86:F88)</f>
        <v>16400</v>
      </c>
      <c r="F85" s="46"/>
      <c r="G85" s="44" t="s">
        <v>46</v>
      </c>
      <c r="H85" s="44"/>
      <c r="I85" s="14"/>
      <c r="J85" s="15"/>
      <c r="K85" s="16"/>
      <c r="L85" s="14"/>
    </row>
    <row r="86" s="1" customFormat="1" ht="37" customHeight="1" spans="1:12">
      <c r="A86" s="42">
        <v>1</v>
      </c>
      <c r="B86" s="42" t="s">
        <v>154</v>
      </c>
      <c r="C86" s="42" t="s">
        <v>48</v>
      </c>
      <c r="D86" s="42" t="s">
        <v>45</v>
      </c>
      <c r="E86" s="33">
        <v>11000</v>
      </c>
      <c r="F86" s="34">
        <v>11000</v>
      </c>
      <c r="G86" s="42" t="s">
        <v>46</v>
      </c>
      <c r="H86" s="44"/>
      <c r="I86" s="14"/>
      <c r="J86" s="15"/>
      <c r="K86" s="16"/>
      <c r="L86" s="14"/>
    </row>
    <row r="87" s="1" customFormat="1" ht="37" customHeight="1" spans="1:12">
      <c r="A87" s="42">
        <v>2</v>
      </c>
      <c r="B87" s="25" t="s">
        <v>52</v>
      </c>
      <c r="C87" s="42"/>
      <c r="D87" s="42" t="s">
        <v>53</v>
      </c>
      <c r="E87" s="35">
        <v>4400</v>
      </c>
      <c r="F87" s="36">
        <v>4400</v>
      </c>
      <c r="G87" s="44"/>
      <c r="H87" s="44"/>
      <c r="I87" s="14"/>
      <c r="J87" s="15"/>
      <c r="K87" s="16"/>
      <c r="L87" s="14"/>
    </row>
    <row r="88" s="1" customFormat="1" ht="37" customHeight="1" spans="1:12">
      <c r="A88" s="42">
        <v>3</v>
      </c>
      <c r="B88" s="25" t="s">
        <v>54</v>
      </c>
      <c r="C88" s="42"/>
      <c r="D88" s="42" t="s">
        <v>53</v>
      </c>
      <c r="E88" s="35">
        <v>982</v>
      </c>
      <c r="F88" s="36">
        <v>1000</v>
      </c>
      <c r="G88" s="44"/>
      <c r="H88" s="47"/>
      <c r="I88" s="14"/>
      <c r="J88" s="15"/>
      <c r="K88" s="16"/>
      <c r="L88" s="14"/>
    </row>
    <row r="89" s="1" customFormat="1" ht="37" customHeight="1" spans="1:12">
      <c r="A89" s="11" t="s">
        <v>155</v>
      </c>
      <c r="B89" s="11"/>
      <c r="C89" s="12"/>
      <c r="D89" s="11"/>
      <c r="E89" s="13"/>
      <c r="F89" s="13"/>
      <c r="G89" s="11"/>
      <c r="H89" s="11"/>
      <c r="I89" s="14"/>
      <c r="J89" s="15"/>
      <c r="K89" s="16"/>
      <c r="L89" s="14"/>
    </row>
    <row r="90" s="2" customFormat="1" ht="37" customHeight="1" spans="1:12">
      <c r="A90" s="17" t="s">
        <v>35</v>
      </c>
      <c r="B90" s="17" t="s">
        <v>36</v>
      </c>
      <c r="C90" s="17" t="s">
        <v>37</v>
      </c>
      <c r="D90" s="17" t="s">
        <v>38</v>
      </c>
      <c r="E90" s="18" t="s">
        <v>39</v>
      </c>
      <c r="F90" s="18" t="s">
        <v>40</v>
      </c>
      <c r="G90" s="17" t="s">
        <v>41</v>
      </c>
      <c r="H90" s="17" t="s">
        <v>42</v>
      </c>
      <c r="I90" s="30"/>
      <c r="J90" s="31"/>
      <c r="K90" s="32"/>
      <c r="L90" s="30"/>
    </row>
    <row r="91" s="1" customFormat="1" ht="37" customHeight="1" spans="1:12">
      <c r="A91" s="19" t="s">
        <v>156</v>
      </c>
      <c r="B91" s="19" t="s">
        <v>157</v>
      </c>
      <c r="C91" s="20"/>
      <c r="D91" s="19" t="s">
        <v>45</v>
      </c>
      <c r="E91" s="26">
        <f>SUM(F92:F95)</f>
        <v>409300</v>
      </c>
      <c r="F91" s="27"/>
      <c r="G91" s="19" t="s">
        <v>46</v>
      </c>
      <c r="H91" s="19"/>
      <c r="I91" s="14"/>
      <c r="J91" s="15"/>
      <c r="K91" s="16"/>
      <c r="L91" s="14"/>
    </row>
    <row r="92" s="1" customFormat="1" ht="37" customHeight="1" spans="1:12">
      <c r="A92" s="22">
        <v>1</v>
      </c>
      <c r="B92" s="22" t="s">
        <v>158</v>
      </c>
      <c r="C92" s="22"/>
      <c r="D92" s="22" t="s">
        <v>57</v>
      </c>
      <c r="E92" s="33">
        <v>2500</v>
      </c>
      <c r="F92" s="34">
        <v>5000</v>
      </c>
      <c r="G92" s="22" t="s">
        <v>58</v>
      </c>
      <c r="H92" s="22" t="s">
        <v>159</v>
      </c>
      <c r="I92" s="14"/>
      <c r="J92" s="15"/>
      <c r="K92" s="16"/>
      <c r="L92" s="14"/>
    </row>
    <row r="93" s="1" customFormat="1" ht="37" customHeight="1" spans="1:12">
      <c r="A93" s="22">
        <v>2</v>
      </c>
      <c r="B93" s="25" t="s">
        <v>52</v>
      </c>
      <c r="C93" s="23"/>
      <c r="D93" s="22" t="s">
        <v>53</v>
      </c>
      <c r="E93" s="35">
        <v>3100</v>
      </c>
      <c r="F93" s="36">
        <v>3100</v>
      </c>
      <c r="G93" s="22"/>
      <c r="H93" s="22"/>
      <c r="I93" s="14"/>
      <c r="J93" s="15"/>
      <c r="K93" s="16"/>
      <c r="L93" s="14"/>
    </row>
    <row r="94" s="1" customFormat="1" ht="37" customHeight="1" spans="1:12">
      <c r="A94" s="22">
        <v>3</v>
      </c>
      <c r="B94" s="25" t="s">
        <v>54</v>
      </c>
      <c r="C94" s="23"/>
      <c r="D94" s="22" t="s">
        <v>53</v>
      </c>
      <c r="E94" s="35">
        <v>900</v>
      </c>
      <c r="F94" s="36">
        <v>900</v>
      </c>
      <c r="G94" s="22" t="s">
        <v>46</v>
      </c>
      <c r="H94" s="22"/>
      <c r="I94" s="14"/>
      <c r="J94" s="15"/>
      <c r="K94" s="16"/>
      <c r="L94" s="14"/>
    </row>
    <row r="95" s="1" customFormat="1" ht="37" customHeight="1" spans="1:12">
      <c r="A95" s="19" t="s">
        <v>160</v>
      </c>
      <c r="B95" s="19" t="s">
        <v>161</v>
      </c>
      <c r="C95" s="20"/>
      <c r="D95" s="19" t="s">
        <v>162</v>
      </c>
      <c r="E95" s="48">
        <v>80060</v>
      </c>
      <c r="F95" s="49">
        <v>400300</v>
      </c>
      <c r="G95" s="19" t="s">
        <v>163</v>
      </c>
      <c r="H95" s="19" t="s">
        <v>164</v>
      </c>
      <c r="I95" s="14"/>
      <c r="J95" s="15"/>
      <c r="K95" s="16"/>
      <c r="L95" s="14"/>
    </row>
    <row r="96" s="1" customFormat="1" ht="37" customHeight="1" spans="1:12">
      <c r="A96" s="19" t="s">
        <v>165</v>
      </c>
      <c r="B96" s="19" t="s">
        <v>166</v>
      </c>
      <c r="C96" s="20"/>
      <c r="D96" s="19" t="s">
        <v>53</v>
      </c>
      <c r="E96" s="26">
        <f>SUM(F97:F100)</f>
        <v>154800</v>
      </c>
      <c r="F96" s="27"/>
      <c r="G96" s="19" t="s">
        <v>46</v>
      </c>
      <c r="H96" s="19"/>
      <c r="I96" s="14"/>
      <c r="J96" s="15"/>
      <c r="K96" s="16"/>
      <c r="L96" s="14"/>
    </row>
    <row r="97" s="1" customFormat="1" ht="37" customHeight="1" spans="1:12">
      <c r="A97" s="22">
        <v>1</v>
      </c>
      <c r="B97" s="22" t="s">
        <v>167</v>
      </c>
      <c r="C97" s="23"/>
      <c r="D97" s="22" t="s">
        <v>57</v>
      </c>
      <c r="E97" s="33">
        <v>48700</v>
      </c>
      <c r="F97" s="34">
        <v>97400</v>
      </c>
      <c r="G97" s="22" t="s">
        <v>58</v>
      </c>
      <c r="H97" s="22" t="s">
        <v>168</v>
      </c>
      <c r="I97" s="14"/>
      <c r="J97" s="15"/>
      <c r="K97" s="16"/>
      <c r="L97" s="14"/>
    </row>
    <row r="98" s="1" customFormat="1" ht="37" customHeight="1" spans="1:12">
      <c r="A98" s="22">
        <v>2</v>
      </c>
      <c r="B98" s="25" t="s">
        <v>52</v>
      </c>
      <c r="C98" s="23"/>
      <c r="D98" s="22" t="s">
        <v>53</v>
      </c>
      <c r="E98" s="35">
        <v>9100</v>
      </c>
      <c r="F98" s="36">
        <v>9100</v>
      </c>
      <c r="G98" s="22"/>
      <c r="H98" s="22"/>
      <c r="I98" s="14"/>
      <c r="J98" s="15"/>
      <c r="K98" s="16"/>
      <c r="L98" s="14"/>
    </row>
    <row r="99" s="1" customFormat="1" ht="37" customHeight="1" spans="1:12">
      <c r="A99" s="22">
        <v>3</v>
      </c>
      <c r="B99" s="25" t="s">
        <v>54</v>
      </c>
      <c r="C99" s="23"/>
      <c r="D99" s="22" t="s">
        <v>53</v>
      </c>
      <c r="E99" s="35">
        <v>1800</v>
      </c>
      <c r="F99" s="36">
        <v>1800</v>
      </c>
      <c r="G99" s="22" t="s">
        <v>46</v>
      </c>
      <c r="H99" s="22"/>
      <c r="I99" s="14"/>
      <c r="J99" s="15"/>
      <c r="K99" s="16"/>
      <c r="L99" s="14"/>
    </row>
    <row r="100" s="1" customFormat="1" ht="37" customHeight="1" spans="1:12">
      <c r="A100" s="19" t="s">
        <v>169</v>
      </c>
      <c r="B100" s="19" t="s">
        <v>170</v>
      </c>
      <c r="C100" s="20"/>
      <c r="D100" s="19" t="s">
        <v>171</v>
      </c>
      <c r="E100" s="48">
        <v>15500</v>
      </c>
      <c r="F100" s="49">
        <v>46500</v>
      </c>
      <c r="G100" s="19" t="s">
        <v>58</v>
      </c>
      <c r="H100" s="37"/>
      <c r="I100" s="14"/>
      <c r="J100" s="15"/>
      <c r="K100" s="16"/>
      <c r="L100" s="14"/>
    </row>
    <row r="101" s="1" customFormat="1" ht="37" customHeight="1" spans="1:12">
      <c r="A101" s="50" t="s">
        <v>172</v>
      </c>
      <c r="B101" s="50"/>
      <c r="C101" s="51"/>
      <c r="D101" s="50"/>
      <c r="E101" s="52"/>
      <c r="F101" s="52"/>
      <c r="G101" s="50"/>
      <c r="H101" s="50"/>
      <c r="I101" s="14"/>
      <c r="J101" s="15"/>
      <c r="K101" s="16"/>
      <c r="L101" s="14"/>
    </row>
    <row r="102" s="1" customFormat="1" ht="37" customHeight="1" spans="1:12">
      <c r="A102" s="19" t="s">
        <v>173</v>
      </c>
      <c r="B102" s="19" t="s">
        <v>174</v>
      </c>
      <c r="C102" s="23" t="s">
        <v>48</v>
      </c>
      <c r="D102" s="19" t="s">
        <v>45</v>
      </c>
      <c r="E102" s="33">
        <v>15700</v>
      </c>
      <c r="F102" s="34">
        <v>15700</v>
      </c>
      <c r="G102" s="19" t="s">
        <v>46</v>
      </c>
      <c r="H102" s="19"/>
      <c r="I102" s="14"/>
      <c r="J102" s="15"/>
      <c r="K102" s="16"/>
      <c r="L102" s="14"/>
    </row>
    <row r="103" s="1" customFormat="1" ht="37" customHeight="1" spans="1:12">
      <c r="A103" s="19" t="s">
        <v>175</v>
      </c>
      <c r="B103" s="19" t="s">
        <v>176</v>
      </c>
      <c r="C103" s="19"/>
      <c r="D103" s="19" t="s">
        <v>57</v>
      </c>
      <c r="E103" s="35">
        <v>2700</v>
      </c>
      <c r="F103" s="36">
        <v>5400</v>
      </c>
      <c r="G103" s="19" t="s">
        <v>58</v>
      </c>
      <c r="H103" s="22" t="s">
        <v>177</v>
      </c>
      <c r="I103" s="14"/>
      <c r="J103" s="15"/>
      <c r="K103" s="16"/>
      <c r="L103" s="14"/>
    </row>
    <row r="104" s="1" customFormat="1" ht="37" customHeight="1" spans="1:12">
      <c r="A104" s="19" t="s">
        <v>178</v>
      </c>
      <c r="B104" s="19" t="s">
        <v>179</v>
      </c>
      <c r="C104" s="19"/>
      <c r="D104" s="19" t="s">
        <v>45</v>
      </c>
      <c r="E104" s="35">
        <v>3600</v>
      </c>
      <c r="F104" s="36">
        <v>3600</v>
      </c>
      <c r="G104" s="19" t="s">
        <v>58</v>
      </c>
      <c r="H104" s="37"/>
      <c r="I104" s="14"/>
      <c r="J104" s="15"/>
      <c r="K104" s="16"/>
      <c r="L104" s="14"/>
    </row>
    <row r="105" s="1" customFormat="1" ht="37" customHeight="1" spans="1:12">
      <c r="A105" s="11" t="s">
        <v>180</v>
      </c>
      <c r="B105" s="11"/>
      <c r="C105" s="12"/>
      <c r="D105" s="11"/>
      <c r="E105" s="13"/>
      <c r="F105" s="13"/>
      <c r="G105" s="11"/>
      <c r="H105" s="11"/>
      <c r="I105" s="14"/>
      <c r="J105" s="15"/>
      <c r="K105" s="16"/>
      <c r="L105" s="14"/>
    </row>
    <row r="106" s="1" customFormat="1" ht="37" customHeight="1" spans="1:12">
      <c r="A106" s="53" t="s">
        <v>181</v>
      </c>
      <c r="B106" s="53" t="s">
        <v>182</v>
      </c>
      <c r="C106" s="53" t="s">
        <v>38</v>
      </c>
      <c r="D106" s="54" t="s">
        <v>183</v>
      </c>
      <c r="E106" s="55" t="s">
        <v>184</v>
      </c>
      <c r="F106" s="56">
        <v>117800</v>
      </c>
      <c r="G106" s="57"/>
      <c r="H106" s="58"/>
      <c r="I106" s="14"/>
      <c r="J106" s="15"/>
      <c r="K106" s="16"/>
      <c r="L106" s="14"/>
    </row>
    <row r="107" s="1" customFormat="1" ht="48" customHeight="1" spans="1:12">
      <c r="A107" s="22">
        <v>1</v>
      </c>
      <c r="B107" s="22" t="s">
        <v>185</v>
      </c>
      <c r="C107" s="22" t="s">
        <v>53</v>
      </c>
      <c r="D107" s="22" t="s">
        <v>186</v>
      </c>
      <c r="E107" s="59"/>
      <c r="F107" s="60"/>
      <c r="G107" s="58"/>
      <c r="H107" s="58"/>
      <c r="I107" s="14"/>
      <c r="J107" s="15"/>
      <c r="K107" s="16"/>
      <c r="L107" s="14"/>
    </row>
    <row r="108" s="1" customFormat="1" ht="51" customHeight="1" spans="1:12">
      <c r="A108" s="42">
        <v>2</v>
      </c>
      <c r="B108" s="42" t="s">
        <v>187</v>
      </c>
      <c r="C108" s="42" t="s">
        <v>53</v>
      </c>
      <c r="D108" s="42" t="s">
        <v>188</v>
      </c>
      <c r="E108" s="35"/>
      <c r="F108" s="24"/>
      <c r="I108" s="14"/>
      <c r="J108" s="15"/>
      <c r="K108" s="16"/>
      <c r="L108" s="14"/>
    </row>
    <row r="109" s="1" customFormat="1" ht="37" customHeight="1" spans="1:12">
      <c r="A109" s="42">
        <v>3</v>
      </c>
      <c r="B109" s="42" t="s">
        <v>189</v>
      </c>
      <c r="C109" s="42" t="s">
        <v>53</v>
      </c>
      <c r="D109" s="42" t="s">
        <v>190</v>
      </c>
      <c r="E109" s="35"/>
      <c r="F109" s="24"/>
      <c r="I109" s="14"/>
      <c r="J109" s="15"/>
      <c r="K109" s="16"/>
      <c r="L109" s="14"/>
    </row>
    <row r="110" s="1" customFormat="1" ht="55" customHeight="1" spans="1:12">
      <c r="A110" s="42">
        <v>4</v>
      </c>
      <c r="B110" s="42" t="s">
        <v>191</v>
      </c>
      <c r="C110" s="42" t="s">
        <v>53</v>
      </c>
      <c r="D110" s="42" t="s">
        <v>186</v>
      </c>
      <c r="E110" s="35"/>
      <c r="F110" s="24"/>
      <c r="I110" s="14"/>
      <c r="J110" s="15"/>
      <c r="K110" s="16"/>
      <c r="L110" s="14"/>
    </row>
    <row r="111" s="1" customFormat="1" ht="50" customHeight="1" spans="1:12">
      <c r="A111" s="42">
        <v>5</v>
      </c>
      <c r="B111" s="42" t="s">
        <v>192</v>
      </c>
      <c r="C111" s="42" t="s">
        <v>53</v>
      </c>
      <c r="D111" s="42" t="s">
        <v>193</v>
      </c>
      <c r="E111" s="35"/>
      <c r="F111" s="24"/>
      <c r="I111" s="14"/>
      <c r="J111" s="15"/>
      <c r="K111" s="16"/>
      <c r="L111" s="14"/>
    </row>
    <row r="112" s="1" customFormat="1" ht="37" customHeight="1" spans="1:12">
      <c r="A112" s="11" t="s">
        <v>194</v>
      </c>
      <c r="B112" s="38"/>
      <c r="C112" s="2"/>
      <c r="D112" s="38"/>
      <c r="E112" s="30"/>
      <c r="F112" s="30"/>
      <c r="I112" s="14"/>
      <c r="J112" s="15"/>
      <c r="K112" s="16"/>
      <c r="L112" s="30"/>
    </row>
    <row r="113" s="1" customFormat="1" ht="37" customHeight="1" spans="1:12">
      <c r="A113" s="53" t="s">
        <v>181</v>
      </c>
      <c r="B113" s="53" t="s">
        <v>182</v>
      </c>
      <c r="C113" s="53" t="s">
        <v>38</v>
      </c>
      <c r="D113" s="61" t="s">
        <v>183</v>
      </c>
      <c r="E113" s="62" t="s">
        <v>39</v>
      </c>
      <c r="F113" s="62" t="s">
        <v>40</v>
      </c>
      <c r="G113" s="61" t="s">
        <v>41</v>
      </c>
      <c r="I113" s="14"/>
      <c r="J113" s="15"/>
      <c r="K113" s="16"/>
      <c r="L113" s="14"/>
    </row>
    <row r="114" s="1" customFormat="1" ht="37" customHeight="1" spans="1:12">
      <c r="A114" s="63" t="s">
        <v>195</v>
      </c>
      <c r="B114" s="63"/>
      <c r="C114" s="63"/>
      <c r="D114" s="63"/>
      <c r="E114" s="64"/>
      <c r="F114" s="64"/>
      <c r="G114" s="63"/>
      <c r="I114" s="14"/>
      <c r="J114" s="15"/>
      <c r="K114" s="16"/>
      <c r="L114" s="14"/>
    </row>
    <row r="115" s="1" customFormat="1" ht="37" customHeight="1" spans="1:12">
      <c r="A115" s="22">
        <v>1</v>
      </c>
      <c r="B115" s="22" t="s">
        <v>196</v>
      </c>
      <c r="C115" s="22" t="s">
        <v>53</v>
      </c>
      <c r="D115" s="22" t="s">
        <v>197</v>
      </c>
      <c r="E115" s="24">
        <v>50200</v>
      </c>
      <c r="F115" s="24">
        <v>50200</v>
      </c>
      <c r="G115" s="22" t="s">
        <v>58</v>
      </c>
      <c r="I115" s="14"/>
      <c r="J115" s="15"/>
      <c r="K115" s="16"/>
      <c r="L115" s="14"/>
    </row>
    <row r="116" s="1" customFormat="1" ht="51" customHeight="1" spans="1:12">
      <c r="A116" s="65" t="s">
        <v>198</v>
      </c>
      <c r="B116" s="65"/>
      <c r="C116" s="29"/>
      <c r="D116" s="65"/>
      <c r="E116" s="60"/>
      <c r="F116" s="60"/>
      <c r="G116" s="65"/>
      <c r="I116" s="14"/>
      <c r="J116" s="15"/>
      <c r="K116" s="16"/>
      <c r="L116" s="14"/>
    </row>
    <row r="117" s="1" customFormat="1" ht="37" customHeight="1" spans="1:12">
      <c r="A117" s="29" t="s">
        <v>199</v>
      </c>
      <c r="B117" s="29"/>
      <c r="C117" s="29"/>
      <c r="D117" s="29"/>
      <c r="E117" s="60"/>
      <c r="F117" s="60"/>
      <c r="G117" s="29"/>
      <c r="I117" s="14"/>
      <c r="J117" s="15"/>
      <c r="K117" s="16"/>
      <c r="L117" s="14"/>
    </row>
    <row r="118" s="1" customFormat="1" ht="62" customHeight="1" spans="1:12">
      <c r="A118" s="22">
        <v>1</v>
      </c>
      <c r="B118" s="22" t="s">
        <v>200</v>
      </c>
      <c r="C118" s="22" t="s">
        <v>53</v>
      </c>
      <c r="D118" s="22" t="s">
        <v>201</v>
      </c>
      <c r="E118" s="24">
        <v>26000</v>
      </c>
      <c r="F118" s="24">
        <v>26000</v>
      </c>
      <c r="G118" s="22" t="s">
        <v>202</v>
      </c>
      <c r="I118" s="14"/>
      <c r="J118" s="15"/>
      <c r="K118" s="16"/>
      <c r="L118" s="14"/>
    </row>
    <row r="119" s="1" customFormat="1" ht="37" customHeight="1" spans="1:12">
      <c r="A119" s="29" t="s">
        <v>203</v>
      </c>
      <c r="B119" s="29"/>
      <c r="C119" s="29"/>
      <c r="D119" s="29"/>
      <c r="E119" s="60"/>
      <c r="F119" s="60"/>
      <c r="G119" s="29"/>
      <c r="I119" s="14"/>
      <c r="J119" s="15"/>
      <c r="K119" s="16"/>
      <c r="L119" s="14"/>
    </row>
    <row r="120" s="1" customFormat="1" ht="50" customHeight="1" spans="1:12">
      <c r="A120" s="22">
        <v>1</v>
      </c>
      <c r="B120" s="22" t="s">
        <v>204</v>
      </c>
      <c r="C120" s="22" t="s">
        <v>53</v>
      </c>
      <c r="D120" s="66" t="s">
        <v>205</v>
      </c>
      <c r="E120" s="24">
        <v>152800</v>
      </c>
      <c r="F120" s="24">
        <v>152800</v>
      </c>
      <c r="G120" s="22" t="s">
        <v>114</v>
      </c>
      <c r="I120" s="14"/>
      <c r="J120" s="15"/>
      <c r="K120" s="16"/>
      <c r="L120" s="14"/>
    </row>
    <row r="121" s="1" customFormat="1" ht="37" customHeight="1" spans="1:12">
      <c r="A121" s="29" t="s">
        <v>206</v>
      </c>
      <c r="B121" s="29"/>
      <c r="C121" s="29"/>
      <c r="D121" s="29"/>
      <c r="E121" s="60"/>
      <c r="F121" s="60"/>
      <c r="G121" s="29"/>
      <c r="I121" s="14"/>
      <c r="J121" s="15"/>
      <c r="K121" s="16"/>
      <c r="L121" s="14"/>
    </row>
    <row r="122" s="1" customFormat="1" ht="37" customHeight="1" spans="1:12">
      <c r="A122" s="22">
        <v>1</v>
      </c>
      <c r="B122" s="22" t="s">
        <v>207</v>
      </c>
      <c r="C122" s="22" t="s">
        <v>53</v>
      </c>
      <c r="D122" s="22"/>
      <c r="E122" s="24">
        <v>32700</v>
      </c>
      <c r="F122" s="24">
        <v>32700</v>
      </c>
      <c r="G122" s="22" t="s">
        <v>208</v>
      </c>
      <c r="I122" s="14"/>
      <c r="J122" s="15"/>
      <c r="K122" s="16"/>
      <c r="L122" s="14"/>
    </row>
    <row r="123" s="1" customFormat="1" ht="37" customHeight="1" spans="1:12">
      <c r="A123" s="11" t="s">
        <v>209</v>
      </c>
      <c r="B123" s="38"/>
      <c r="C123" s="2"/>
      <c r="D123" s="38"/>
      <c r="E123" s="30"/>
      <c r="F123" s="30"/>
      <c r="G123" s="38"/>
      <c r="I123" s="14"/>
      <c r="J123" s="15"/>
      <c r="K123" s="16"/>
      <c r="L123" s="14"/>
    </row>
    <row r="124" s="1" customFormat="1" ht="37" customHeight="1" spans="1:12">
      <c r="A124" s="53" t="s">
        <v>181</v>
      </c>
      <c r="B124" s="53" t="s">
        <v>182</v>
      </c>
      <c r="C124" s="53" t="s">
        <v>38</v>
      </c>
      <c r="D124" s="53" t="s">
        <v>41</v>
      </c>
      <c r="E124" s="67" t="s">
        <v>39</v>
      </c>
      <c r="F124" s="67" t="s">
        <v>40</v>
      </c>
      <c r="I124" s="14"/>
      <c r="J124" s="15"/>
      <c r="K124" s="16"/>
      <c r="L124" s="14"/>
    </row>
    <row r="125" s="1" customFormat="1" ht="37" customHeight="1" spans="1:12">
      <c r="A125" s="19" t="s">
        <v>43</v>
      </c>
      <c r="B125" s="19" t="s">
        <v>210</v>
      </c>
      <c r="C125" s="19" t="s">
        <v>53</v>
      </c>
      <c r="D125" s="19" t="s">
        <v>211</v>
      </c>
      <c r="E125" s="24">
        <v>54300</v>
      </c>
      <c r="F125" s="24">
        <v>54300</v>
      </c>
      <c r="I125" s="14"/>
      <c r="J125" s="15"/>
      <c r="K125" s="16"/>
      <c r="L125" s="14"/>
    </row>
    <row r="126" s="1" customFormat="1" ht="37" customHeight="1" spans="1:12">
      <c r="A126" s="19" t="s">
        <v>55</v>
      </c>
      <c r="B126" s="19" t="s">
        <v>212</v>
      </c>
      <c r="C126" s="19" t="s">
        <v>53</v>
      </c>
      <c r="D126" s="19" t="s">
        <v>211</v>
      </c>
      <c r="E126" s="24">
        <v>27100</v>
      </c>
      <c r="F126" s="24">
        <v>27100</v>
      </c>
      <c r="I126" s="14"/>
      <c r="J126" s="15"/>
      <c r="K126" s="16"/>
      <c r="L126" s="14"/>
    </row>
    <row r="127" s="1" customFormat="1" ht="48" customHeight="1" spans="1:12">
      <c r="A127" s="19" t="s">
        <v>61</v>
      </c>
      <c r="B127" s="19" t="s">
        <v>213</v>
      </c>
      <c r="C127" s="19" t="s">
        <v>53</v>
      </c>
      <c r="D127" s="19" t="s">
        <v>214</v>
      </c>
      <c r="E127" s="24">
        <v>14100</v>
      </c>
      <c r="F127" s="24">
        <v>14100</v>
      </c>
      <c r="I127" s="14"/>
      <c r="J127" s="15"/>
      <c r="K127" s="16"/>
      <c r="L127" s="14"/>
    </row>
    <row r="128" s="1" customFormat="1" ht="52" customHeight="1" spans="1:12">
      <c r="A128" s="19" t="s">
        <v>69</v>
      </c>
      <c r="B128" s="19" t="s">
        <v>215</v>
      </c>
      <c r="C128" s="19" t="s">
        <v>53</v>
      </c>
      <c r="D128" s="19" t="s">
        <v>216</v>
      </c>
      <c r="E128" s="24">
        <v>181300</v>
      </c>
      <c r="F128" s="24">
        <v>181300</v>
      </c>
      <c r="I128" s="14"/>
      <c r="J128" s="15"/>
      <c r="K128" s="16"/>
      <c r="L128" s="14"/>
    </row>
    <row r="129" s="1" customFormat="1" ht="61" customHeight="1" spans="1:12">
      <c r="A129" s="22">
        <v>1</v>
      </c>
      <c r="B129" s="22" t="s">
        <v>217</v>
      </c>
      <c r="C129" s="22" t="s">
        <v>53</v>
      </c>
      <c r="D129" s="22" t="s">
        <v>218</v>
      </c>
      <c r="E129" s="24" t="s">
        <v>219</v>
      </c>
      <c r="F129" s="24" t="s">
        <v>219</v>
      </c>
      <c r="I129" s="14"/>
      <c r="J129" s="15"/>
      <c r="K129" s="16"/>
      <c r="L129" s="14"/>
    </row>
    <row r="130" s="1" customFormat="1" ht="54" customHeight="1" spans="1:12">
      <c r="A130" s="22">
        <v>2</v>
      </c>
      <c r="B130" s="22" t="s">
        <v>220</v>
      </c>
      <c r="C130" s="22" t="s">
        <v>53</v>
      </c>
      <c r="D130" s="22" t="s">
        <v>221</v>
      </c>
      <c r="E130" s="24" t="s">
        <v>219</v>
      </c>
      <c r="F130" s="24" t="s">
        <v>219</v>
      </c>
      <c r="I130" s="14"/>
      <c r="J130" s="15"/>
      <c r="K130" s="16"/>
      <c r="L130" s="14"/>
    </row>
    <row r="131" s="1" customFormat="1" ht="55" customHeight="1" spans="1:12">
      <c r="A131" s="22">
        <v>3</v>
      </c>
      <c r="B131" s="22" t="s">
        <v>222</v>
      </c>
      <c r="C131" s="22" t="s">
        <v>53</v>
      </c>
      <c r="D131" s="22" t="s">
        <v>218</v>
      </c>
      <c r="E131" s="24" t="s">
        <v>219</v>
      </c>
      <c r="F131" s="24" t="s">
        <v>219</v>
      </c>
      <c r="I131" s="14"/>
      <c r="J131" s="15"/>
      <c r="K131" s="16"/>
      <c r="L131" s="14"/>
    </row>
    <row r="132" s="1" customFormat="1" ht="55" customHeight="1" spans="1:12">
      <c r="A132" s="22">
        <v>4</v>
      </c>
      <c r="B132" s="22" t="s">
        <v>223</v>
      </c>
      <c r="C132" s="22" t="s">
        <v>53</v>
      </c>
      <c r="D132" s="22" t="s">
        <v>218</v>
      </c>
      <c r="E132" s="24" t="s">
        <v>219</v>
      </c>
      <c r="F132" s="24" t="s">
        <v>219</v>
      </c>
      <c r="I132" s="14"/>
      <c r="J132" s="15"/>
      <c r="K132" s="16"/>
      <c r="L132" s="14"/>
    </row>
    <row r="133" s="1" customFormat="1" ht="47" customHeight="1" spans="1:12">
      <c r="A133" s="22">
        <v>5</v>
      </c>
      <c r="B133" s="22" t="s">
        <v>224</v>
      </c>
      <c r="C133" s="22" t="s">
        <v>53</v>
      </c>
      <c r="D133" s="22" t="s">
        <v>218</v>
      </c>
      <c r="E133" s="24" t="s">
        <v>219</v>
      </c>
      <c r="F133" s="24" t="s">
        <v>219</v>
      </c>
      <c r="I133" s="14"/>
      <c r="J133" s="15"/>
      <c r="K133" s="16"/>
      <c r="L133" s="14"/>
    </row>
    <row r="134" s="1" customFormat="1" ht="55" customHeight="1" spans="1:12">
      <c r="A134" s="22">
        <v>6</v>
      </c>
      <c r="B134" s="22" t="s">
        <v>225</v>
      </c>
      <c r="C134" s="22" t="s">
        <v>53</v>
      </c>
      <c r="D134" s="22" t="s">
        <v>226</v>
      </c>
      <c r="E134" s="24" t="s">
        <v>219</v>
      </c>
      <c r="F134" s="24" t="s">
        <v>219</v>
      </c>
      <c r="I134" s="14"/>
      <c r="J134" s="15"/>
      <c r="K134" s="16"/>
      <c r="L134" s="14"/>
    </row>
    <row r="135" s="1" customFormat="1" ht="45" customHeight="1" spans="1:12">
      <c r="A135" s="22">
        <v>7</v>
      </c>
      <c r="B135" s="22" t="s">
        <v>227</v>
      </c>
      <c r="C135" s="22" t="s">
        <v>53</v>
      </c>
      <c r="D135" s="22" t="s">
        <v>226</v>
      </c>
      <c r="E135" s="24" t="s">
        <v>219</v>
      </c>
      <c r="F135" s="24" t="s">
        <v>219</v>
      </c>
      <c r="I135" s="14"/>
      <c r="J135" s="15"/>
      <c r="K135" s="16"/>
      <c r="L135" s="14"/>
    </row>
    <row r="136" s="1" customFormat="1" ht="49" customHeight="1" spans="1:12">
      <c r="A136" s="22">
        <v>8</v>
      </c>
      <c r="B136" s="22" t="s">
        <v>228</v>
      </c>
      <c r="C136" s="22" t="s">
        <v>53</v>
      </c>
      <c r="D136" s="22" t="s">
        <v>229</v>
      </c>
      <c r="E136" s="24" t="s">
        <v>219</v>
      </c>
      <c r="F136" s="24" t="s">
        <v>219</v>
      </c>
      <c r="I136" s="14"/>
      <c r="J136" s="15"/>
      <c r="K136" s="16"/>
      <c r="L136" s="14"/>
    </row>
    <row r="137" s="1" customFormat="1" ht="37" customHeight="1" spans="1:12">
      <c r="A137" s="22">
        <v>9</v>
      </c>
      <c r="B137" s="22" t="s">
        <v>230</v>
      </c>
      <c r="C137" s="22" t="s">
        <v>53</v>
      </c>
      <c r="D137" s="22" t="s">
        <v>231</v>
      </c>
      <c r="E137" s="24" t="s">
        <v>219</v>
      </c>
      <c r="F137" s="24" t="s">
        <v>219</v>
      </c>
      <c r="I137" s="14"/>
      <c r="J137" s="15"/>
      <c r="K137" s="16"/>
      <c r="L137" s="14"/>
    </row>
    <row r="138" s="1" customFormat="1" ht="57" customHeight="1" spans="1:12">
      <c r="A138" s="22">
        <v>10</v>
      </c>
      <c r="B138" s="22" t="s">
        <v>232</v>
      </c>
      <c r="C138" s="22" t="s">
        <v>53</v>
      </c>
      <c r="D138" s="22" t="s">
        <v>233</v>
      </c>
      <c r="E138" s="24" t="s">
        <v>219</v>
      </c>
      <c r="F138" s="24" t="s">
        <v>219</v>
      </c>
      <c r="I138" s="14"/>
      <c r="J138" s="15"/>
      <c r="K138" s="16"/>
      <c r="L138" s="14"/>
    </row>
    <row r="139" s="1" customFormat="1" ht="50" customHeight="1" spans="1:12">
      <c r="A139" s="22">
        <v>11</v>
      </c>
      <c r="B139" s="22" t="s">
        <v>234</v>
      </c>
      <c r="C139" s="22" t="s">
        <v>53</v>
      </c>
      <c r="D139" s="22" t="s">
        <v>235</v>
      </c>
      <c r="E139" s="24" t="s">
        <v>219</v>
      </c>
      <c r="F139" s="24" t="s">
        <v>219</v>
      </c>
      <c r="I139" s="14"/>
      <c r="J139" s="15"/>
      <c r="K139" s="16"/>
      <c r="L139" s="14"/>
    </row>
    <row r="140" s="1" customFormat="1" ht="37" customHeight="1" spans="1:12">
      <c r="A140" s="22">
        <v>12</v>
      </c>
      <c r="B140" s="22" t="s">
        <v>236</v>
      </c>
      <c r="C140" s="22" t="s">
        <v>53</v>
      </c>
      <c r="D140" s="22" t="s">
        <v>237</v>
      </c>
      <c r="E140" s="24" t="s">
        <v>219</v>
      </c>
      <c r="F140" s="24" t="s">
        <v>219</v>
      </c>
      <c r="I140" s="14"/>
      <c r="J140" s="15"/>
      <c r="K140" s="16"/>
      <c r="L140" s="14"/>
    </row>
    <row r="141" s="1" customFormat="1" ht="37" customHeight="1" spans="1:12">
      <c r="A141" s="19" t="s">
        <v>87</v>
      </c>
      <c r="B141" s="19" t="s">
        <v>238</v>
      </c>
      <c r="C141" s="19" t="s">
        <v>53</v>
      </c>
      <c r="D141" s="19"/>
      <c r="E141" s="24" t="s">
        <v>219</v>
      </c>
      <c r="F141" s="24" t="s">
        <v>219</v>
      </c>
      <c r="I141" s="14"/>
      <c r="J141" s="15"/>
      <c r="K141" s="16"/>
      <c r="L141" s="14"/>
    </row>
    <row r="142" s="1" customFormat="1" ht="37" customHeight="1" spans="1:12">
      <c r="A142" s="22">
        <v>1</v>
      </c>
      <c r="B142" s="22" t="s">
        <v>239</v>
      </c>
      <c r="C142" s="22" t="s">
        <v>53</v>
      </c>
      <c r="D142" s="22" t="s">
        <v>240</v>
      </c>
      <c r="E142" s="24">
        <v>16400</v>
      </c>
      <c r="F142" s="24">
        <v>16400</v>
      </c>
      <c r="I142" s="14"/>
      <c r="J142" s="15"/>
      <c r="K142" s="16"/>
      <c r="L142" s="14">
        <v>16400</v>
      </c>
    </row>
    <row r="143" s="1" customFormat="1" ht="37" customHeight="1" spans="1:12">
      <c r="A143" s="22">
        <v>2</v>
      </c>
      <c r="B143" s="22" t="s">
        <v>241</v>
      </c>
      <c r="C143" s="22" t="s">
        <v>53</v>
      </c>
      <c r="D143" s="22" t="s">
        <v>240</v>
      </c>
      <c r="E143" s="24">
        <v>11000</v>
      </c>
      <c r="F143" s="24">
        <v>11000</v>
      </c>
      <c r="I143" s="14"/>
      <c r="J143" s="15"/>
      <c r="K143" s="16"/>
      <c r="L143" s="14">
        <v>11000</v>
      </c>
    </row>
    <row r="144" s="1" customFormat="1" ht="63" customHeight="1" spans="1:12">
      <c r="A144" s="22">
        <v>3</v>
      </c>
      <c r="B144" s="22" t="s">
        <v>242</v>
      </c>
      <c r="C144" s="22" t="s">
        <v>53</v>
      </c>
      <c r="D144" s="22" t="s">
        <v>243</v>
      </c>
      <c r="E144" s="24">
        <v>45400</v>
      </c>
      <c r="F144" s="24">
        <v>45400</v>
      </c>
      <c r="I144" s="14"/>
      <c r="J144" s="15"/>
      <c r="K144" s="16"/>
      <c r="L144" s="14">
        <v>45400</v>
      </c>
    </row>
    <row r="145" s="1" customFormat="1" ht="37" customHeight="1" spans="1:13">
      <c r="A145" s="19" t="s">
        <v>244</v>
      </c>
      <c r="B145" s="19" t="s">
        <v>245</v>
      </c>
      <c r="C145" s="19" t="s">
        <v>53</v>
      </c>
      <c r="D145" s="19"/>
      <c r="E145" s="68">
        <v>1800</v>
      </c>
      <c r="F145" s="68">
        <v>1800</v>
      </c>
      <c r="I145" s="14"/>
      <c r="J145" s="15"/>
      <c r="K145" s="16"/>
      <c r="L145" s="14">
        <v>1800</v>
      </c>
    </row>
    <row r="146" s="1" customFormat="1" ht="37" customHeight="1" spans="1:13">
      <c r="A146" s="22">
        <v>1</v>
      </c>
      <c r="B146" s="22" t="s">
        <v>246</v>
      </c>
      <c r="C146" s="22" t="s">
        <v>53</v>
      </c>
      <c r="D146" s="22"/>
      <c r="E146" s="24"/>
      <c r="F146" s="24"/>
      <c r="I146" s="14"/>
      <c r="J146" s="15"/>
      <c r="K146" s="16"/>
      <c r="L146" s="14"/>
    </row>
    <row r="147" s="1" customFormat="1" ht="37" customHeight="1" spans="1:13">
      <c r="A147" s="22">
        <v>2</v>
      </c>
      <c r="B147" s="22" t="s">
        <v>247</v>
      </c>
      <c r="C147" s="22" t="s">
        <v>53</v>
      </c>
      <c r="D147" s="22"/>
      <c r="E147" s="24"/>
      <c r="F147" s="24"/>
      <c r="I147" s="14"/>
      <c r="J147" s="15"/>
      <c r="K147" s="16"/>
      <c r="L147" s="14"/>
    </row>
    <row r="148" s="1" customFormat="1" ht="37" customHeight="1" spans="1:13">
      <c r="A148" s="22">
        <v>3</v>
      </c>
      <c r="B148" s="22" t="s">
        <v>248</v>
      </c>
      <c r="C148" s="22" t="s">
        <v>53</v>
      </c>
      <c r="D148" s="37"/>
      <c r="E148" s="24"/>
      <c r="F148" s="24"/>
      <c r="G148" s="1"/>
      <c r="I148" s="14"/>
      <c r="J148" s="15"/>
      <c r="K148" s="16"/>
      <c r="L148" s="14"/>
    </row>
    <row r="149" s="1" customFormat="1" ht="37" customHeight="1" spans="1:13">
      <c r="A149" s="11" t="s">
        <v>249</v>
      </c>
      <c r="B149" s="11"/>
      <c r="C149" s="12"/>
      <c r="D149" s="11"/>
      <c r="E149" s="13"/>
      <c r="F149" s="13"/>
      <c r="G149" s="11"/>
      <c r="I149" s="14"/>
      <c r="J149" s="15"/>
      <c r="K149" s="16"/>
      <c r="L149" s="14">
        <f>SUM(L151:L153)</f>
        <v>160100</v>
      </c>
      <c r="M149" s="1">
        <f>SUM(L150:L153)</f>
        <v>160100</v>
      </c>
    </row>
    <row r="150" s="2" customFormat="1" ht="37" customHeight="1" spans="1:13">
      <c r="A150" s="69" t="s">
        <v>35</v>
      </c>
      <c r="B150" s="69" t="s">
        <v>250</v>
      </c>
      <c r="C150" s="69" t="s">
        <v>38</v>
      </c>
      <c r="D150" s="69" t="s">
        <v>41</v>
      </c>
      <c r="E150" s="70" t="s">
        <v>39</v>
      </c>
      <c r="F150" s="70" t="s">
        <v>40</v>
      </c>
      <c r="G150" s="69" t="s">
        <v>42</v>
      </c>
      <c r="H150" s="2"/>
      <c r="I150" s="30"/>
      <c r="J150" s="31"/>
      <c r="K150" s="32"/>
      <c r="L150" s="30"/>
    </row>
    <row r="151" s="2" customFormat="1" ht="37" customHeight="1" spans="1:13">
      <c r="A151" s="42">
        <v>1</v>
      </c>
      <c r="B151" s="42" t="s">
        <v>251</v>
      </c>
      <c r="C151" s="42" t="s">
        <v>53</v>
      </c>
      <c r="D151" s="42" t="s">
        <v>46</v>
      </c>
      <c r="E151" s="33">
        <v>94400</v>
      </c>
      <c r="F151" s="34">
        <v>94400</v>
      </c>
      <c r="G151" s="42"/>
      <c r="I151" s="30"/>
      <c r="J151" s="31"/>
      <c r="K151" s="32"/>
      <c r="L151" s="30">
        <v>94400</v>
      </c>
    </row>
    <row r="152" s="2" customFormat="1" ht="37" customHeight="1" spans="1:13">
      <c r="A152" s="42"/>
      <c r="B152" s="71" t="s">
        <v>252</v>
      </c>
      <c r="C152" s="42" t="s">
        <v>53</v>
      </c>
      <c r="D152" s="42"/>
      <c r="E152" s="35">
        <v>37600</v>
      </c>
      <c r="F152" s="36">
        <v>37600</v>
      </c>
      <c r="G152" s="42"/>
      <c r="I152" s="30"/>
      <c r="J152" s="31"/>
      <c r="K152" s="32"/>
      <c r="L152" s="30">
        <v>37600</v>
      </c>
    </row>
    <row r="153" s="2" customFormat="1" ht="37" customHeight="1" spans="1:13">
      <c r="A153" s="42"/>
      <c r="B153" s="71" t="s">
        <v>253</v>
      </c>
      <c r="C153" s="42" t="s">
        <v>53</v>
      </c>
      <c r="D153" s="42"/>
      <c r="E153" s="35">
        <v>28100</v>
      </c>
      <c r="F153" s="36">
        <v>28100</v>
      </c>
      <c r="G153" s="42"/>
      <c r="I153" s="30"/>
      <c r="J153" s="31"/>
      <c r="K153" s="32"/>
      <c r="L153" s="30">
        <v>28100</v>
      </c>
    </row>
    <row r="154" s="2" customFormat="1" ht="56" customHeight="1" spans="1:13">
      <c r="A154" s="72">
        <v>2</v>
      </c>
      <c r="B154" s="72" t="s">
        <v>254</v>
      </c>
      <c r="C154" s="72" t="s">
        <v>255</v>
      </c>
      <c r="D154" s="72" t="s">
        <v>256</v>
      </c>
      <c r="E154" s="73" t="s">
        <v>257</v>
      </c>
      <c r="F154" s="73">
        <v>733000</v>
      </c>
      <c r="G154" s="74" t="s">
        <v>258</v>
      </c>
      <c r="H154" s="75"/>
      <c r="I154" s="76"/>
      <c r="J154" s="77"/>
      <c r="K154" s="77"/>
      <c r="L154" s="30"/>
    </row>
    <row r="155" ht="47" customHeight="1" spans="1:13">
      <c r="A155" s="11" t="s">
        <v>259</v>
      </c>
      <c r="B155" s="78"/>
      <c r="C155" s="79"/>
      <c r="D155" s="78"/>
      <c r="E155" s="79"/>
      <c r="F155" s="79"/>
      <c r="G155" s="78"/>
    </row>
    <row r="156" s="3" customFormat="1" ht="31.2" spans="1:13">
      <c r="A156" s="80" t="s">
        <v>35</v>
      </c>
      <c r="B156" s="80" t="s">
        <v>250</v>
      </c>
      <c r="C156" s="80" t="s">
        <v>260</v>
      </c>
      <c r="D156" s="3"/>
      <c r="E156" s="3"/>
      <c r="I156" s="5"/>
      <c r="J156" s="81"/>
      <c r="K156" s="82"/>
      <c r="L156" s="5"/>
    </row>
    <row r="157" s="3" customFormat="1" ht="31.2" spans="1:13">
      <c r="A157" s="83">
        <v>1</v>
      </c>
      <c r="B157" s="84" t="s">
        <v>261</v>
      </c>
      <c r="C157" s="85">
        <v>10000</v>
      </c>
      <c r="D157" s="3"/>
      <c r="E157" s="3"/>
      <c r="I157" s="5"/>
      <c r="J157" s="81"/>
      <c r="K157" s="82"/>
      <c r="L157" s="5"/>
    </row>
    <row r="158" s="3" customFormat="1" ht="31.2" spans="1:13">
      <c r="A158" s="83">
        <v>2</v>
      </c>
      <c r="B158" s="84" t="s">
        <v>262</v>
      </c>
      <c r="C158" s="85">
        <v>69800</v>
      </c>
      <c r="D158" s="3"/>
      <c r="I158" s="5"/>
      <c r="J158" s="81"/>
      <c r="K158" s="82"/>
      <c r="L158" s="5"/>
    </row>
    <row r="159" s="3" customFormat="1" ht="31.2" spans="1:13">
      <c r="A159" s="83">
        <v>3</v>
      </c>
      <c r="B159" s="84" t="s">
        <v>263</v>
      </c>
      <c r="C159" s="85">
        <v>65400</v>
      </c>
      <c r="D159" s="3"/>
      <c r="E159" s="3"/>
      <c r="I159" s="5"/>
      <c r="J159" s="81"/>
      <c r="K159" s="82"/>
      <c r="L159" s="5"/>
    </row>
    <row r="160" s="3" customFormat="1" ht="31.2" spans="1:13">
      <c r="A160" s="83">
        <v>4</v>
      </c>
      <c r="B160" s="84" t="s">
        <v>264</v>
      </c>
      <c r="C160" s="85">
        <v>62500</v>
      </c>
      <c r="D160" s="3"/>
      <c r="I160" s="5"/>
      <c r="J160" s="81"/>
      <c r="K160" s="82"/>
      <c r="L160" s="5">
        <f>SUM(L161:L164)</f>
        <v>208800</v>
      </c>
      <c r="M160" s="3">
        <f>SUM(L161:L164)</f>
        <v>208800</v>
      </c>
    </row>
    <row r="161" s="3" customFormat="1" ht="31.2" spans="1:13">
      <c r="A161" s="83">
        <v>5</v>
      </c>
      <c r="B161" s="84" t="s">
        <v>265</v>
      </c>
      <c r="C161" s="85">
        <v>53100</v>
      </c>
      <c r="D161" s="3"/>
      <c r="I161" s="5"/>
      <c r="J161" s="81"/>
      <c r="K161" s="82"/>
      <c r="L161" s="5">
        <v>11100</v>
      </c>
    </row>
    <row r="162" s="3" customFormat="1" ht="31.2" spans="1:13">
      <c r="A162" s="83">
        <v>6</v>
      </c>
      <c r="B162" s="84" t="s">
        <v>266</v>
      </c>
      <c r="C162" s="85">
        <v>131800</v>
      </c>
      <c r="D162" s="3"/>
      <c r="I162" s="5"/>
      <c r="J162" s="81"/>
      <c r="K162" s="82"/>
      <c r="L162" s="5">
        <v>69800</v>
      </c>
    </row>
    <row r="163" s="3" customFormat="1" ht="31.2" spans="1:13">
      <c r="A163" s="83">
        <v>7</v>
      </c>
      <c r="B163" s="84" t="s">
        <v>267</v>
      </c>
      <c r="C163" s="85">
        <v>42200</v>
      </c>
      <c r="D163" s="3"/>
      <c r="I163" s="5"/>
      <c r="J163" s="81"/>
      <c r="K163" s="82"/>
      <c r="L163" s="5">
        <v>65400</v>
      </c>
    </row>
    <row r="164" s="3" customFormat="1" ht="31.2" spans="1:13">
      <c r="A164" s="83">
        <v>8</v>
      </c>
      <c r="B164" s="84" t="s">
        <v>268</v>
      </c>
      <c r="C164" s="85">
        <v>58000</v>
      </c>
      <c r="D164" s="3"/>
      <c r="E164" s="3"/>
      <c r="I164" s="5"/>
      <c r="J164" s="81"/>
      <c r="K164" s="82"/>
      <c r="L164" s="5">
        <v>62500</v>
      </c>
    </row>
    <row r="165" spans="1:13">
      <c r="M165" s="4">
        <f>SUM(M2:M161)</f>
        <v>368900</v>
      </c>
    </row>
  </sheetData>
  <mergeCells count="31">
    <mergeCell ref="A1:H1"/>
    <mergeCell ref="A2:H2"/>
    <mergeCell ref="E4:F4"/>
    <mergeCell ref="A11:H11"/>
    <mergeCell ref="E13:F13"/>
    <mergeCell ref="E19:F19"/>
    <mergeCell ref="A32:H32"/>
    <mergeCell ref="E34:F34"/>
    <mergeCell ref="A43:H43"/>
    <mergeCell ref="A55:H55"/>
    <mergeCell ref="A59:H59"/>
    <mergeCell ref="E60:F60"/>
    <mergeCell ref="E66:F66"/>
    <mergeCell ref="E71:F71"/>
    <mergeCell ref="E78:F78"/>
    <mergeCell ref="E85:F85"/>
    <mergeCell ref="A89:H89"/>
    <mergeCell ref="E91:F91"/>
    <mergeCell ref="E96:F96"/>
    <mergeCell ref="A101:H101"/>
    <mergeCell ref="A105:H105"/>
    <mergeCell ref="A112:D112"/>
    <mergeCell ref="A114:G114"/>
    <mergeCell ref="A116:G116"/>
    <mergeCell ref="A117:G117"/>
    <mergeCell ref="A119:G119"/>
    <mergeCell ref="A121:G121"/>
    <mergeCell ref="A123:G123"/>
    <mergeCell ref="A149:G149"/>
    <mergeCell ref="H154:I154"/>
    <mergeCell ref="A155:G15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Sheet2-Equipment Price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xie</dc:creator>
  <cp:lastModifiedBy>_阿文-啊</cp:lastModifiedBy>
  <dcterms:created xsi:type="dcterms:W3CDTF">2023-05-12T11:15:00Z</dcterms:created>
  <dcterms:modified xsi:type="dcterms:W3CDTF">2026-04-09T03:14:27Z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CA5A25DDF5094B20AACE353272DC422C_13</vt:lpwstr>
  </property>
  <property fmtid="{D5CDD505-2E9C-101B-9397-08002B2CF9AE}" pid="4" name="CalculationRule">
    <vt:i4>0</vt:i4>
  </property>
</Properties>
</file>