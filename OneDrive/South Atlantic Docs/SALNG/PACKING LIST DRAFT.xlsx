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EVANS\Desktop\"/>
    </mc:Choice>
  </mc:AlternateContent>
  <xr:revisionPtr revIDLastSave="0" documentId="13_ncr:1_{8FD53E48-8673-45BB-BF5E-54415BE9974D}" xr6:coauthVersionLast="36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BATCH A" sheetId="1" r:id="rId1"/>
    <sheet name="BATCH B" sheetId="2" r:id="rId2"/>
    <sheet name="BATCH C" sheetId="3" r:id="rId3"/>
    <sheet name="BATCH D" sheetId="4" r:id="rId4"/>
  </sheets>
  <definedNames>
    <definedName name="_xlnm._FilterDatabase" localSheetId="0" hidden="1">'BATCH A'!$B$1:$B$205</definedName>
  </definedNames>
  <calcPr calcId="191029"/>
</workbook>
</file>

<file path=xl/calcChain.xml><?xml version="1.0" encoding="utf-8"?>
<calcChain xmlns="http://schemas.openxmlformats.org/spreadsheetml/2006/main">
  <c r="G24" i="4" l="1"/>
  <c r="M4" i="4" s="1"/>
  <c r="L23" i="4"/>
  <c r="M23" i="4" s="1"/>
  <c r="K23" i="4"/>
  <c r="I23" i="4"/>
  <c r="L22" i="4"/>
  <c r="M22" i="4" s="1"/>
  <c r="K22" i="4"/>
  <c r="I22" i="4"/>
  <c r="L21" i="4"/>
  <c r="M21" i="4" s="1"/>
  <c r="K21" i="4"/>
  <c r="I21" i="4"/>
  <c r="L20" i="4"/>
  <c r="M20" i="4" s="1"/>
  <c r="K20" i="4"/>
  <c r="I20" i="4"/>
  <c r="L14" i="4"/>
  <c r="M14" i="4" s="1"/>
  <c r="L13" i="4"/>
  <c r="M13" i="4" s="1"/>
  <c r="K13" i="4"/>
  <c r="I13" i="4"/>
  <c r="L12" i="4"/>
  <c r="M12" i="4" s="1"/>
  <c r="K12" i="4"/>
  <c r="I12" i="4"/>
  <c r="M11" i="4"/>
  <c r="K11" i="4"/>
  <c r="K24" i="4" s="1"/>
  <c r="M6" i="4" s="1"/>
  <c r="I11" i="4"/>
  <c r="I24" i="4" s="1"/>
  <c r="M5" i="4" s="1"/>
  <c r="E65" i="3"/>
  <c r="D65" i="3"/>
  <c r="C65" i="3"/>
  <c r="I4" i="3" s="1"/>
  <c r="I64" i="3"/>
  <c r="I63" i="3"/>
  <c r="I62" i="3"/>
  <c r="I60" i="3"/>
  <c r="I59" i="3"/>
  <c r="I56" i="3"/>
  <c r="I55" i="3"/>
  <c r="I54" i="3"/>
  <c r="I53" i="3"/>
  <c r="I52" i="3"/>
  <c r="I50" i="3"/>
  <c r="I47" i="3"/>
  <c r="I46" i="3"/>
  <c r="I45" i="3"/>
  <c r="I44" i="3"/>
  <c r="I43" i="3"/>
  <c r="I42" i="3"/>
  <c r="I41" i="3"/>
  <c r="I40" i="3"/>
  <c r="I39" i="3"/>
  <c r="I38" i="3"/>
  <c r="I37" i="3"/>
  <c r="I36" i="3"/>
  <c r="I32" i="3"/>
  <c r="I29" i="3"/>
  <c r="I28" i="3"/>
  <c r="I27" i="3"/>
  <c r="I26" i="3"/>
  <c r="I25" i="3"/>
  <c r="I24" i="3"/>
  <c r="I23" i="3"/>
  <c r="I22" i="3"/>
  <c r="I21" i="3"/>
  <c r="I20" i="3"/>
  <c r="I18" i="3"/>
  <c r="I17" i="3"/>
  <c r="I16" i="3"/>
  <c r="I15" i="3"/>
  <c r="I14" i="3"/>
  <c r="I13" i="3"/>
  <c r="I12" i="3"/>
  <c r="I11" i="3"/>
  <c r="I10" i="3"/>
  <c r="I6" i="3"/>
  <c r="I5" i="3"/>
  <c r="I65" i="3" l="1"/>
  <c r="M24" i="4"/>
  <c r="M7" i="4" s="1"/>
  <c r="K17" i="2" l="1"/>
  <c r="M6" i="2" s="1"/>
  <c r="G17" i="2"/>
  <c r="L16" i="2"/>
  <c r="M16" i="2" s="1"/>
  <c r="K16" i="2"/>
  <c r="I16" i="2"/>
  <c r="L15" i="2"/>
  <c r="M15" i="2" s="1"/>
  <c r="K15" i="2"/>
  <c r="I15" i="2"/>
  <c r="L14" i="2"/>
  <c r="M14" i="2" s="1"/>
  <c r="K14" i="2"/>
  <c r="I14" i="2"/>
  <c r="L13" i="2"/>
  <c r="M13" i="2" s="1"/>
  <c r="K13" i="2"/>
  <c r="I13" i="2"/>
  <c r="L12" i="2"/>
  <c r="M12" i="2" s="1"/>
  <c r="K12" i="2"/>
  <c r="I12" i="2"/>
  <c r="L11" i="2"/>
  <c r="M11" i="2" s="1"/>
  <c r="K11" i="2"/>
  <c r="I11" i="2"/>
  <c r="I17" i="2" s="1"/>
  <c r="M5" i="2" s="1"/>
  <c r="M4" i="2"/>
  <c r="M17" i="2" l="1"/>
  <c r="M7" i="2" s="1"/>
  <c r="I33" i="1"/>
  <c r="J33" i="1" s="1"/>
  <c r="I32" i="1"/>
  <c r="J32" i="1" s="1"/>
  <c r="I31" i="1"/>
  <c r="J31" i="1" s="1"/>
  <c r="E31" i="1"/>
  <c r="E32" i="1"/>
  <c r="E33" i="1"/>
  <c r="I35" i="1"/>
  <c r="I109" i="1"/>
  <c r="I29" i="1"/>
  <c r="J29" i="1" s="1"/>
  <c r="I30" i="1"/>
  <c r="J30" i="1" s="1"/>
  <c r="E30" i="1"/>
  <c r="E29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D205" i="1"/>
  <c r="I5" i="1" s="1"/>
  <c r="C205" i="1"/>
  <c r="I190" i="1"/>
  <c r="I182" i="1"/>
  <c r="I183" i="1"/>
  <c r="I184" i="1"/>
  <c r="I185" i="1"/>
  <c r="I186" i="1"/>
  <c r="I187" i="1"/>
  <c r="I188" i="1"/>
  <c r="I189" i="1"/>
  <c r="I181" i="1"/>
  <c r="I178" i="1"/>
  <c r="I179" i="1"/>
  <c r="I177" i="1"/>
  <c r="I174" i="1"/>
  <c r="I175" i="1"/>
  <c r="I172" i="1"/>
  <c r="I167" i="1"/>
  <c r="I168" i="1"/>
  <c r="I169" i="1"/>
  <c r="I170" i="1"/>
  <c r="I171" i="1"/>
  <c r="I166" i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10" i="1"/>
  <c r="J10" i="1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0" i="1"/>
  <c r="I54" i="1"/>
  <c r="I51" i="1"/>
  <c r="I49" i="1"/>
  <c r="I47" i="1"/>
  <c r="I39" i="1"/>
  <c r="I36" i="1"/>
  <c r="I162" i="1"/>
  <c r="I163" i="1"/>
  <c r="I161" i="1"/>
  <c r="I160" i="1"/>
  <c r="I159" i="1"/>
  <c r="I158" i="1"/>
  <c r="I157" i="1"/>
  <c r="I156" i="1"/>
  <c r="E205" i="1" l="1"/>
  <c r="I149" i="1"/>
  <c r="I148" i="1"/>
  <c r="I117" i="1"/>
  <c r="I116" i="1"/>
  <c r="I72" i="1"/>
  <c r="I61" i="1"/>
  <c r="I62" i="1"/>
  <c r="I98" i="1"/>
  <c r="I142" i="1"/>
  <c r="I141" i="1"/>
  <c r="I140" i="1"/>
  <c r="I139" i="1"/>
  <c r="I138" i="1"/>
  <c r="I137" i="1"/>
  <c r="I136" i="1"/>
  <c r="I135" i="1"/>
  <c r="I134" i="1"/>
  <c r="I133" i="1"/>
  <c r="I34" i="1"/>
  <c r="J205" i="1" s="1"/>
  <c r="I155" i="1"/>
  <c r="I154" i="1"/>
  <c r="I153" i="1"/>
  <c r="I152" i="1"/>
  <c r="I165" i="1"/>
  <c r="I173" i="1"/>
  <c r="I150" i="1"/>
  <c r="I146" i="1"/>
  <c r="I147" i="1"/>
  <c r="I145" i="1"/>
  <c r="I144" i="1"/>
  <c r="I83" i="1"/>
  <c r="I95" i="1"/>
  <c r="I96" i="1"/>
  <c r="I90" i="1"/>
  <c r="I91" i="1"/>
  <c r="I106" i="1"/>
  <c r="I114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43" i="1"/>
  <c r="I120" i="1"/>
  <c r="I119" i="1"/>
  <c r="I118" i="1"/>
  <c r="I115" i="1"/>
  <c r="I113" i="1"/>
  <c r="I112" i="1"/>
  <c r="I111" i="1"/>
  <c r="I110" i="1"/>
  <c r="I108" i="1" l="1"/>
  <c r="I107" i="1"/>
  <c r="I105" i="1"/>
  <c r="I104" i="1"/>
  <c r="I103" i="1"/>
  <c r="I102" i="1"/>
  <c r="I101" i="1"/>
  <c r="I100" i="1"/>
  <c r="I99" i="1"/>
  <c r="I97" i="1"/>
  <c r="I94" i="1"/>
  <c r="I93" i="1"/>
  <c r="I92" i="1"/>
  <c r="I89" i="1"/>
  <c r="I44" i="1"/>
  <c r="I45" i="1"/>
  <c r="I46" i="1"/>
  <c r="I63" i="1"/>
  <c r="I64" i="1"/>
  <c r="I65" i="1"/>
  <c r="I66" i="1"/>
  <c r="I67" i="1"/>
  <c r="I68" i="1"/>
  <c r="I69" i="1"/>
  <c r="I70" i="1"/>
  <c r="I71" i="1"/>
  <c r="I73" i="1"/>
  <c r="I74" i="1"/>
  <c r="I75" i="1"/>
  <c r="I76" i="1"/>
  <c r="I77" i="1"/>
  <c r="I78" i="1"/>
  <c r="I79" i="1"/>
  <c r="I80" i="1"/>
  <c r="I81" i="1"/>
  <c r="I82" i="1"/>
  <c r="I84" i="1"/>
  <c r="I85" i="1"/>
  <c r="I86" i="1"/>
  <c r="I87" i="1"/>
  <c r="I88" i="1"/>
  <c r="I37" i="1"/>
  <c r="I38" i="1"/>
  <c r="I40" i="1"/>
  <c r="I41" i="1"/>
  <c r="I42" i="1"/>
  <c r="I43" i="1"/>
  <c r="I48" i="1"/>
  <c r="I50" i="1"/>
  <c r="I52" i="1"/>
  <c r="I53" i="1"/>
  <c r="I56" i="1"/>
  <c r="I57" i="1"/>
  <c r="I58" i="1"/>
  <c r="I59" i="1"/>
  <c r="I60" i="1"/>
  <c r="I4" i="1" l="1"/>
  <c r="I6" i="1" l="1"/>
  <c r="I7" i="1"/>
</calcChain>
</file>

<file path=xl/sharedStrings.xml><?xml version="1.0" encoding="utf-8"?>
<sst xmlns="http://schemas.openxmlformats.org/spreadsheetml/2006/main" count="521" uniqueCount="218">
  <si>
    <t>Messrs.</t>
  </si>
  <si>
    <t>Peiyang Chemical  Engineering  Service  Corporation   PTE.LTD.</t>
  </si>
  <si>
    <t>Total Package Q'ty</t>
  </si>
  <si>
    <t>Kg</t>
  </si>
  <si>
    <t>Total Gross Weight</t>
  </si>
  <si>
    <t>Total Measurement</t>
  </si>
  <si>
    <r>
      <rPr>
        <sz val="12"/>
        <rFont val="Arial"/>
        <family val="2"/>
      </rPr>
      <t>m</t>
    </r>
    <r>
      <rPr>
        <vertAlign val="superscript"/>
        <sz val="12"/>
        <rFont val="Arial"/>
        <family val="2"/>
      </rPr>
      <t>3</t>
    </r>
  </si>
  <si>
    <t>Description</t>
  </si>
  <si>
    <t>L（mm）</t>
  </si>
  <si>
    <t>W（mm）</t>
  </si>
  <si>
    <t>H（mm）</t>
  </si>
  <si>
    <t>Pcs</t>
    <phoneticPr fontId="8" type="noConversion"/>
  </si>
  <si>
    <t>Date</t>
    <phoneticPr fontId="8" type="noConversion"/>
  </si>
  <si>
    <t>Packing list</t>
    <phoneticPr fontId="8" type="noConversion"/>
  </si>
  <si>
    <t>Remark</t>
    <phoneticPr fontId="8" type="noConversion"/>
  </si>
  <si>
    <t>Case No.</t>
    <phoneticPr fontId="8" type="noConversion"/>
  </si>
  <si>
    <t>BOG Compressor</t>
  </si>
  <si>
    <t>Weighbridge</t>
  </si>
  <si>
    <t>Fire protection system</t>
  </si>
  <si>
    <t>Cooling tower</t>
    <phoneticPr fontId="8" type="noConversion"/>
  </si>
  <si>
    <t>Control system</t>
  </si>
  <si>
    <t>Distribution control Device - Control cabinet</t>
    <phoneticPr fontId="8" type="noConversion"/>
  </si>
  <si>
    <t>Fire protection system</t>
    <phoneticPr fontId="8" type="noConversion"/>
  </si>
  <si>
    <t>Fire Water Tank</t>
    <phoneticPr fontId="8" type="noConversion"/>
  </si>
  <si>
    <t>Instrument Air and Nitrogen Producing Device</t>
    <phoneticPr fontId="8" type="noConversion"/>
  </si>
  <si>
    <t>Control system</t>
    <phoneticPr fontId="8" type="noConversion"/>
  </si>
  <si>
    <t>Distribution control Device - Control cabinet</t>
    <phoneticPr fontId="8" type="noConversion"/>
  </si>
  <si>
    <t>Gas generator set</t>
    <phoneticPr fontId="8" type="noConversion"/>
  </si>
  <si>
    <t>Circulating Water Pump</t>
    <phoneticPr fontId="8" type="noConversion"/>
  </si>
  <si>
    <t>Booster Water Pump</t>
    <phoneticPr fontId="8" type="noConversion"/>
  </si>
  <si>
    <t>Refrigerant Compressor</t>
    <phoneticPr fontId="8" type="noConversion"/>
  </si>
  <si>
    <t>Control system</t>
    <phoneticPr fontId="8" type="noConversion"/>
  </si>
  <si>
    <t>LNG loading SKID</t>
    <phoneticPr fontId="8" type="noConversion"/>
  </si>
  <si>
    <t>40HC</t>
    <phoneticPr fontId="8" type="noConversion"/>
  </si>
  <si>
    <t>Distribution control Device - Control cabinet</t>
  </si>
  <si>
    <t>Distribution control Device - Control cabinet</t>
    <phoneticPr fontId="8" type="noConversion"/>
  </si>
  <si>
    <t>High-voltage Inverter</t>
  </si>
  <si>
    <t>Pressure Regulator</t>
  </si>
  <si>
    <t>Gas generator set</t>
  </si>
  <si>
    <t>High-voltage Inverter</t>
    <phoneticPr fontId="8" type="noConversion"/>
  </si>
  <si>
    <t>Circulating Water Pump</t>
  </si>
  <si>
    <t>Refrigerant Compressor</t>
  </si>
  <si>
    <t>40HC</t>
    <phoneticPr fontId="8" type="noConversion"/>
  </si>
  <si>
    <t>Instrument Air and Nitrogen Producing Device</t>
  </si>
  <si>
    <t>Fire Water Tank</t>
    <phoneticPr fontId="8" type="noConversion"/>
  </si>
  <si>
    <t>40HC</t>
    <phoneticPr fontId="8" type="noConversion"/>
  </si>
  <si>
    <t xml:space="preserve">40HC
</t>
    <phoneticPr fontId="8" type="noConversion"/>
  </si>
  <si>
    <t>40HC</t>
    <phoneticPr fontId="8" type="noConversion"/>
  </si>
  <si>
    <t>Fire protection system</t>
    <phoneticPr fontId="8" type="noConversion"/>
  </si>
  <si>
    <t>Distribution control Device - Control cabinet</t>
    <phoneticPr fontId="8" type="noConversion"/>
  </si>
  <si>
    <t>Weighbridge</t>
    <phoneticPr fontId="8" type="noConversion"/>
  </si>
  <si>
    <t>Refrigerant supplement SKID</t>
  </si>
  <si>
    <t>Carbon Dioxide Removal Device</t>
  </si>
  <si>
    <t>Heavy Hydrocarbon Removal Device</t>
  </si>
  <si>
    <t>Heat exchanger Separation Device</t>
  </si>
  <si>
    <t>Feed gas Inlet Device</t>
  </si>
  <si>
    <t>Dehydration Device</t>
  </si>
  <si>
    <t>Cold Box</t>
  </si>
  <si>
    <t>1</t>
    <phoneticPr fontId="8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</si>
  <si>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</si>
  <si>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</si>
  <si>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</si>
  <si>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</si>
  <si>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</si>
  <si>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</si>
  <si>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</si>
  <si>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</si>
  <si>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</si>
  <si>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</si>
  <si>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</si>
  <si>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</si>
  <si>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</si>
  <si>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</si>
  <si>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</si>
  <si>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</si>
  <si>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</si>
  <si>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</si>
  <si>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1#</t>
    <phoneticPr fontId="8" type="noConversion"/>
  </si>
  <si>
    <t>2#</t>
    <phoneticPr fontId="8" type="noConversion"/>
  </si>
  <si>
    <t>3#</t>
    <phoneticPr fontId="8" type="noConversion"/>
  </si>
  <si>
    <t>4#</t>
    <phoneticPr fontId="8" type="noConversion"/>
  </si>
  <si>
    <t>5#</t>
    <phoneticPr fontId="8" type="noConversion"/>
  </si>
  <si>
    <t>6#</t>
    <phoneticPr fontId="8" type="noConversion"/>
  </si>
  <si>
    <t>7#</t>
    <phoneticPr fontId="8" type="noConversion"/>
  </si>
  <si>
    <t>8#</t>
    <phoneticPr fontId="8" type="noConversion"/>
  </si>
  <si>
    <t>9#</t>
    <phoneticPr fontId="8" type="noConversion"/>
  </si>
  <si>
    <t>10#</t>
    <phoneticPr fontId="8" type="noConversion"/>
  </si>
  <si>
    <t>11#</t>
    <phoneticPr fontId="8" type="noConversion"/>
  </si>
  <si>
    <t>12#</t>
    <phoneticPr fontId="8" type="noConversion"/>
  </si>
  <si>
    <t>13#</t>
    <phoneticPr fontId="8" type="noConversion"/>
  </si>
  <si>
    <t>Fire protection system</t>
    <phoneticPr fontId="8" type="noConversion"/>
  </si>
  <si>
    <t>Perlite</t>
    <phoneticPr fontId="8" type="noConversion"/>
  </si>
  <si>
    <t>Cable</t>
    <phoneticPr fontId="8" type="noConversion"/>
  </si>
  <si>
    <t>Refrigerant supplement SKID</t>
    <phoneticPr fontId="8" type="noConversion"/>
  </si>
  <si>
    <t>Heat transfer Oil Heating Device</t>
    <phoneticPr fontId="8" type="noConversion"/>
  </si>
  <si>
    <t>Fire Water Tank</t>
    <phoneticPr fontId="8" type="noConversion"/>
  </si>
  <si>
    <t>Instrument Air and Nitrogen Producing Device</t>
    <phoneticPr fontId="8" type="noConversion"/>
  </si>
  <si>
    <t>Desalinated Water system</t>
    <phoneticPr fontId="8" type="noConversion"/>
  </si>
  <si>
    <t>14#</t>
    <phoneticPr fontId="8" type="noConversion"/>
  </si>
  <si>
    <t>40HC</t>
    <phoneticPr fontId="8" type="noConversion"/>
  </si>
  <si>
    <t>15#</t>
    <phoneticPr fontId="8" type="noConversion"/>
  </si>
  <si>
    <t>Cable</t>
    <phoneticPr fontId="8" type="noConversion"/>
  </si>
  <si>
    <t>20</t>
  </si>
  <si>
    <t>21</t>
  </si>
  <si>
    <t>BOG Reheating Unit</t>
    <phoneticPr fontId="8" type="noConversion"/>
  </si>
  <si>
    <t>Flare system</t>
    <phoneticPr fontId="8" type="noConversion"/>
  </si>
  <si>
    <t>Total Net Weight</t>
    <phoneticPr fontId="8" type="noConversion"/>
  </si>
  <si>
    <t>40HC</t>
    <phoneticPr fontId="8" type="noConversion"/>
  </si>
  <si>
    <t>40GP</t>
    <phoneticPr fontId="8" type="noConversion"/>
  </si>
  <si>
    <t>22</t>
  </si>
  <si>
    <t>23</t>
  </si>
  <si>
    <t>24</t>
  </si>
  <si>
    <t>Carbon Dioxide Removal Device</t>
    <phoneticPr fontId="8" type="noConversion"/>
  </si>
  <si>
    <r>
      <t>T</t>
    </r>
    <r>
      <rPr>
        <sz val="11"/>
        <color theme="1"/>
        <rFont val="Calibri"/>
        <family val="3"/>
        <charset val="134"/>
        <scheme val="minor"/>
      </rPr>
      <t>otal</t>
    </r>
  </si>
  <si>
    <t>QTY</t>
  </si>
  <si>
    <t>NET WEIGHT(Kg)</t>
  </si>
  <si>
    <t>GROSS WEIGHT (Kg)</t>
  </si>
  <si>
    <t>VOLUME/ITEM (m3)</t>
  </si>
  <si>
    <t>TOTAL VOLUME (m3)</t>
  </si>
  <si>
    <t>LNG Loading Pump</t>
  </si>
  <si>
    <r>
      <t>Client  Messrs.</t>
    </r>
    <r>
      <rPr>
        <sz val="12"/>
        <rFont val="宋体"/>
        <charset val="134"/>
      </rPr>
      <t>：</t>
    </r>
    <r>
      <rPr>
        <sz val="12"/>
        <rFont val="Arial"/>
        <family val="2"/>
      </rPr>
      <t>Peiyang Chemical Engineering Service 
Corporation PTE. LTD</t>
    </r>
  </si>
  <si>
    <t>Packing list</t>
  </si>
  <si>
    <t>Total Net Weight</t>
  </si>
  <si>
    <r>
      <t>m</t>
    </r>
    <r>
      <rPr>
        <vertAlign val="superscript"/>
        <sz val="12"/>
        <rFont val="Arial"/>
        <family val="2"/>
      </rPr>
      <t>3</t>
    </r>
  </si>
  <si>
    <t xml:space="preserve"> No.</t>
    <phoneticPr fontId="10" type="noConversion"/>
  </si>
  <si>
    <t>Package No.</t>
  </si>
  <si>
    <t>Net Weight(Kg)</t>
  </si>
  <si>
    <t>Gross Weight (Kg)</t>
  </si>
  <si>
    <r>
      <t>Measurement (m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)</t>
    </r>
  </si>
  <si>
    <t>Dimension (mm) of Palette (L×W×H)</t>
  </si>
  <si>
    <t>Per P'kg</t>
  </si>
  <si>
    <t>Total</t>
  </si>
  <si>
    <t>Per P'm3</t>
  </si>
  <si>
    <t>1</t>
    <phoneticPr fontId="10" type="noConversion"/>
  </si>
  <si>
    <t>Pipe rack</t>
    <phoneticPr fontId="10" type="noConversion"/>
  </si>
  <si>
    <t>4900*1200*640</t>
  </si>
  <si>
    <t>5830*1130*640</t>
  </si>
  <si>
    <t>5050*580*610</t>
  </si>
  <si>
    <t>850*840*1180</t>
  </si>
  <si>
    <t>830*820*1490</t>
  </si>
  <si>
    <t>5020*880*500</t>
  </si>
  <si>
    <t>Pcs</t>
  </si>
  <si>
    <t>Case No.</t>
  </si>
  <si>
    <t>L（mm）*W（mm）*H（mm）*</t>
  </si>
  <si>
    <t>Remark</t>
  </si>
  <si>
    <t>1# CONTAINER</t>
  </si>
  <si>
    <t>STEEL PIPES</t>
    <phoneticPr fontId="13" type="noConversion"/>
  </si>
  <si>
    <t>Φ89*5*12000</t>
  </si>
  <si>
    <t>Φ114*8.56*12000</t>
  </si>
  <si>
    <t>Φ140*6.5*12000</t>
  </si>
  <si>
    <t>Φ48*5*12000</t>
  </si>
  <si>
    <t>Φ168*7*12000</t>
  </si>
  <si>
    <t>2# CONTAINER</t>
  </si>
  <si>
    <t>Φ273*6.5*12000</t>
  </si>
  <si>
    <t>Φ60*4*12000</t>
  </si>
  <si>
    <t>Φ219*6.5*12000</t>
  </si>
  <si>
    <t>Φ356*8*12000</t>
  </si>
  <si>
    <t>3# CONTAINER</t>
  </si>
  <si>
    <t>4# CONTAINER</t>
  </si>
  <si>
    <t>Φ325X7*12000</t>
  </si>
  <si>
    <t>5# CONTAINER</t>
  </si>
  <si>
    <t>Φ21.3X3.73*6000</t>
  </si>
  <si>
    <t>Φ26.7X3.91*6000</t>
  </si>
  <si>
    <t>Φ34X4.55</t>
  </si>
  <si>
    <t>Φ48X4</t>
  </si>
  <si>
    <t>Φ114X6</t>
  </si>
  <si>
    <t>Φ140X6.5</t>
  </si>
  <si>
    <t>Φ89X8</t>
  </si>
  <si>
    <t>[10*6m</t>
    <phoneticPr fontId="13" type="noConversion"/>
  </si>
  <si>
    <t>50X5</t>
    <phoneticPr fontId="13" type="noConversion"/>
  </si>
  <si>
    <t>6# CONTAINER</t>
  </si>
  <si>
    <t>Φ38X2.5</t>
  </si>
  <si>
    <t>40X4</t>
    <phoneticPr fontId="13" type="noConversion"/>
  </si>
  <si>
    <t>16a</t>
    <phoneticPr fontId="13" type="noConversion"/>
  </si>
  <si>
    <t>L50X5</t>
    <phoneticPr fontId="13" type="noConversion"/>
  </si>
  <si>
    <t>1200*1200*1500</t>
  </si>
  <si>
    <t>1200*1200*870</t>
  </si>
  <si>
    <t>1200*1200*1400</t>
  </si>
  <si>
    <t>7# CONTAINER</t>
  </si>
  <si>
    <t>1050X1050X1200</t>
    <phoneticPr fontId="13" type="noConversion"/>
  </si>
  <si>
    <t>560*560*490</t>
  </si>
  <si>
    <t>960*960*480</t>
  </si>
  <si>
    <t>1000*1000*500</t>
  </si>
  <si>
    <t>1000*1000*1000</t>
  </si>
  <si>
    <t>700*700*500</t>
  </si>
  <si>
    <t>1200*1200*1100</t>
  </si>
  <si>
    <t>1200*1200*1200</t>
  </si>
  <si>
    <t>1200*1200*750</t>
  </si>
  <si>
    <t>2000*1000*1000</t>
    <phoneticPr fontId="13" type="noConversion"/>
  </si>
  <si>
    <t>1050*1050*750</t>
  </si>
  <si>
    <t>1300*800*700</t>
  </si>
  <si>
    <t>1050*1050*1200</t>
  </si>
  <si>
    <t>1050*1050*1200</t>
    <phoneticPr fontId="13" type="noConversion"/>
  </si>
  <si>
    <t>1545*730*615</t>
  </si>
  <si>
    <t>900*550*580</t>
  </si>
  <si>
    <t>1200*850*830</t>
  </si>
  <si>
    <t xml:space="preserve"> CABLE</t>
  </si>
  <si>
    <t>1000*1000*680</t>
    <phoneticPr fontId="10" type="noConversion"/>
  </si>
  <si>
    <t>800*800*550</t>
    <phoneticPr fontId="10" type="noConversion"/>
  </si>
  <si>
    <t>1050*1050*750</t>
    <phoneticPr fontId="10" type="noConversion"/>
  </si>
  <si>
    <t>Pipe rack-cable tray</t>
  </si>
  <si>
    <t>200*200*6000</t>
    <phoneticPr fontId="10" type="noConversion"/>
  </si>
  <si>
    <t>φ25</t>
    <phoneticPr fontId="10" type="noConversion"/>
  </si>
  <si>
    <t>2000X900X450</t>
  </si>
  <si>
    <t>1600X1200X860</t>
  </si>
  <si>
    <t>1050X1050X700</t>
  </si>
  <si>
    <t>LNG monitoring system - flexible tube</t>
  </si>
  <si>
    <t>LNG monitoring system - Electrical instrument materials</t>
  </si>
  <si>
    <t>Loading Port: Tianjin Port, CHINA</t>
  </si>
  <si>
    <t>Loading Port: Lianyungang port, China</t>
  </si>
  <si>
    <t>Peiyang Chemical Engineering Service 
Corporation PTE. LTD</t>
  </si>
  <si>
    <t>Loading Port: Tianjin Port, China</t>
  </si>
  <si>
    <t>40ft container</t>
  </si>
  <si>
    <t>Loading Port: Tianjin port, China</t>
  </si>
  <si>
    <t>40HC</t>
  </si>
  <si>
    <r>
      <t>2</t>
    </r>
    <r>
      <rPr>
        <sz val="11"/>
        <rFont val="Calibri"/>
        <family val="3"/>
        <charset val="134"/>
        <scheme val="minor"/>
      </rPr>
      <t>0OT</t>
    </r>
  </si>
  <si>
    <r>
      <t>T</t>
    </r>
    <r>
      <rPr>
        <sz val="11"/>
        <rFont val="Calibri"/>
        <family val="3"/>
        <charset val="134"/>
        <scheme val="minor"/>
      </rPr>
      <t>otal</t>
    </r>
  </si>
  <si>
    <t xml:space="preserve">LNG monitoring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</si>
</sst>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yy;@"/>
    <numFmt numFmtId="165" formatCode="0_ "/>
    <numFmt numFmtId="166" formatCode="0.00_);\(0.00\)"/>
    <numFmt numFmtId="167" formatCode="0.00_ "/>
  </numFmts>
  <fonts count="30">
    <font>
      <sz val="11"/>
      <color theme="1"/>
      <name val="Calibri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2"/>
      <name val="Arial"/>
      <family val="2"/>
    </font>
    <font>
      <sz val="11"/>
      <name val="Helvetica"/>
      <family val="2"/>
    </font>
    <font>
      <sz val="22"/>
      <name val="Arial"/>
      <family val="2"/>
    </font>
    <font>
      <sz val="11"/>
      <name val="ＭＳ 明朝"/>
      <charset val="128"/>
    </font>
    <font>
      <vertAlign val="superscript"/>
      <sz val="12"/>
      <name val="Arial"/>
      <family val="2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11"/>
      <color theme="1"/>
      <name val="Calibri"/>
      <family val="3"/>
      <charset val="134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2"/>
      <name val="宋体"/>
      <charset val="134"/>
    </font>
    <font>
      <sz val="11"/>
      <name val="Times New Roman"/>
      <family val="1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name val="宋体"/>
      <charset val="134"/>
    </font>
    <font>
      <sz val="8"/>
      <color rgb="FF3F3F3F"/>
      <name val="Times New Roman"/>
      <family val="1"/>
    </font>
    <font>
      <sz val="8"/>
      <name val="Arial"/>
      <family val="2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8"/>
      <color rgb="FF000000"/>
      <name val="Arial"/>
      <family val="2"/>
    </font>
    <font>
      <sz val="9"/>
      <color rgb="FF000000"/>
      <name val="宋体"/>
      <family val="3"/>
      <charset val="134"/>
    </font>
    <font>
      <sz val="8"/>
      <color theme="1"/>
      <name val="Calibri"/>
      <family val="2"/>
      <scheme val="minor"/>
    </font>
    <font>
      <sz val="14"/>
      <name val="Arial"/>
      <family val="2"/>
    </font>
    <font>
      <sz val="14"/>
      <name val="Times New Roman"/>
      <family val="1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13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/>
    <xf numFmtId="166" fontId="3" fillId="0" borderId="2" xfId="0" applyNumberFormat="1" applyFont="1" applyBorder="1" applyAlignment="1"/>
    <xf numFmtId="0" fontId="4" fillId="0" borderId="0" xfId="1" applyFont="1" applyAlignment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 wrapText="1"/>
    </xf>
    <xf numFmtId="167" fontId="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6" fontId="16" fillId="0" borderId="6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66" fontId="16" fillId="0" borderId="6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 applyAlignment="1"/>
    <xf numFmtId="0" fontId="21" fillId="0" borderId="0" xfId="0" applyFont="1" applyAlignment="1"/>
    <xf numFmtId="49" fontId="21" fillId="0" borderId="6" xfId="0" applyNumberFormat="1" applyFont="1" applyBorder="1" applyAlignment="1">
      <alignment horizontal="center" vertical="center"/>
    </xf>
    <xf numFmtId="165" fontId="22" fillId="0" borderId="6" xfId="0" applyNumberFormat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 applyAlignment="1"/>
    <xf numFmtId="0" fontId="27" fillId="0" borderId="0" xfId="0" applyFont="1">
      <alignment vertical="center"/>
    </xf>
    <xf numFmtId="167" fontId="12" fillId="0" borderId="6" xfId="0" applyNumberFormat="1" applyFont="1" applyBorder="1" applyAlignment="1">
      <alignment horizontal="center" vertical="center" wrapText="1"/>
    </xf>
    <xf numFmtId="0" fontId="28" fillId="0" borderId="0" xfId="0" applyFont="1">
      <alignment vertical="center"/>
    </xf>
    <xf numFmtId="0" fontId="12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>
      <alignment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167" fontId="12" fillId="0" borderId="3" xfId="0" applyNumberFormat="1" applyFont="1" applyBorder="1" applyAlignment="1">
      <alignment horizontal="center" vertical="center" wrapText="1"/>
    </xf>
    <xf numFmtId="167" fontId="12" fillId="0" borderId="5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167" fontId="11" fillId="0" borderId="3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167" fontId="11" fillId="0" borderId="5" xfId="0" applyNumberFormat="1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</cellXfs>
  <cellStyles count="2">
    <cellStyle name="Normal" xfId="0" builtinId="0"/>
    <cellStyle name="標準_PACK&amp;INT-SPECIFICATION（英文）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topLeftCell="A94" workbookViewId="0">
      <selection activeCell="D43" sqref="D43"/>
    </sheetView>
  </sheetViews>
  <sheetFormatPr defaultColWidth="9" defaultRowHeight="14.4"/>
  <cols>
    <col min="1" max="1" width="8.26171875" style="57" customWidth="1"/>
    <col min="2" max="2" width="21.3671875" style="57" customWidth="1"/>
    <col min="3" max="3" width="6.62890625" style="57" customWidth="1"/>
    <col min="4" max="4" width="10.68359375" style="57" bestFit="1" customWidth="1"/>
    <col min="5" max="5" width="11.68359375" style="57" bestFit="1" customWidth="1"/>
    <col min="6" max="6" width="7.89453125" style="57" customWidth="1"/>
    <col min="7" max="7" width="9.3671875" style="57" customWidth="1"/>
    <col min="8" max="8" width="10.47265625" style="57" customWidth="1"/>
    <col min="9" max="10" width="13.1015625" style="57" customWidth="1"/>
    <col min="11" max="16384" width="9" style="57"/>
  </cols>
  <sheetData>
    <row r="1" spans="1:11" s="1" customFormat="1" ht="18.75" customHeight="1">
      <c r="A1" s="55"/>
      <c r="B1" s="3"/>
      <c r="C1" s="9"/>
      <c r="D1" s="88" t="s">
        <v>13</v>
      </c>
      <c r="E1" s="88"/>
      <c r="F1" s="88"/>
      <c r="G1" s="3"/>
      <c r="H1" s="3"/>
      <c r="I1" s="3"/>
      <c r="J1" s="3"/>
      <c r="K1" s="3"/>
    </row>
    <row r="2" spans="1:11" s="1" customFormat="1" ht="15" customHeight="1">
      <c r="A2" s="3" t="s">
        <v>0</v>
      </c>
      <c r="B2" s="89" t="s">
        <v>1</v>
      </c>
      <c r="C2" s="89"/>
      <c r="D2" s="88"/>
      <c r="E2" s="88"/>
      <c r="F2" s="88"/>
      <c r="G2" s="3" t="s">
        <v>12</v>
      </c>
      <c r="I2" s="87"/>
      <c r="J2" s="87"/>
    </row>
    <row r="3" spans="1:11" s="1" customFormat="1" ht="15" customHeight="1">
      <c r="B3" s="89"/>
      <c r="C3" s="89"/>
      <c r="D3" s="88"/>
      <c r="E3" s="88"/>
      <c r="F3" s="88"/>
      <c r="G3" s="3"/>
      <c r="H3" s="3"/>
      <c r="I3" s="3"/>
    </row>
    <row r="4" spans="1:11" s="1" customFormat="1" ht="15" customHeight="1">
      <c r="A4" s="3"/>
      <c r="B4" s="8"/>
      <c r="C4" s="9"/>
      <c r="D4" s="88"/>
      <c r="E4" s="88"/>
      <c r="F4" s="88"/>
      <c r="G4" s="3" t="s">
        <v>2</v>
      </c>
      <c r="I4" s="10">
        <f>C205</f>
        <v>42</v>
      </c>
      <c r="J4" s="5" t="s">
        <v>11</v>
      </c>
    </row>
    <row r="5" spans="1:11" s="1" customFormat="1" ht="15.75" customHeight="1">
      <c r="A5" s="4"/>
      <c r="B5" s="3"/>
      <c r="C5" s="9"/>
      <c r="D5" s="88"/>
      <c r="E5" s="88"/>
      <c r="F5" s="88"/>
      <c r="G5" s="3" t="s">
        <v>106</v>
      </c>
      <c r="I5" s="7">
        <f>D205</f>
        <v>428685</v>
      </c>
      <c r="J5" s="6" t="s">
        <v>3</v>
      </c>
    </row>
    <row r="6" spans="1:11" s="1" customFormat="1" ht="15" customHeight="1">
      <c r="A6" s="3" t="s">
        <v>208</v>
      </c>
      <c r="B6" s="3"/>
      <c r="C6" s="9"/>
      <c r="D6" s="88"/>
      <c r="E6" s="88"/>
      <c r="F6" s="88"/>
      <c r="G6" s="3" t="s">
        <v>4</v>
      </c>
      <c r="I6" s="7">
        <f>E205</f>
        <v>510825</v>
      </c>
      <c r="J6" s="6" t="s">
        <v>3</v>
      </c>
    </row>
    <row r="7" spans="1:11" s="1" customFormat="1" ht="18" customHeight="1">
      <c r="A7" s="3"/>
      <c r="B7" s="3"/>
      <c r="C7" s="9"/>
      <c r="D7" s="88"/>
      <c r="E7" s="88"/>
      <c r="F7" s="88"/>
      <c r="G7" s="3" t="s">
        <v>5</v>
      </c>
      <c r="I7" s="7">
        <f>J205</f>
        <v>3280.1351349999991</v>
      </c>
      <c r="J7" s="6" t="s">
        <v>123</v>
      </c>
    </row>
    <row r="9" spans="1:11" s="16" customFormat="1" ht="31.5" customHeight="1">
      <c r="A9" s="14" t="s">
        <v>15</v>
      </c>
      <c r="B9" s="20" t="s">
        <v>7</v>
      </c>
      <c r="C9" s="20" t="s">
        <v>114</v>
      </c>
      <c r="D9" s="15" t="s">
        <v>115</v>
      </c>
      <c r="E9" s="15" t="s">
        <v>116</v>
      </c>
      <c r="F9" s="15" t="s">
        <v>8</v>
      </c>
      <c r="G9" s="15" t="s">
        <v>9</v>
      </c>
      <c r="H9" s="15" t="s">
        <v>10</v>
      </c>
      <c r="I9" s="13" t="s">
        <v>117</v>
      </c>
      <c r="J9" s="13" t="s">
        <v>118</v>
      </c>
      <c r="K9" s="20" t="s">
        <v>14</v>
      </c>
    </row>
    <row r="10" spans="1:11" s="2" customFormat="1" ht="22.8">
      <c r="A10" s="17" t="s">
        <v>58</v>
      </c>
      <c r="B10" s="17" t="s">
        <v>112</v>
      </c>
      <c r="C10" s="17">
        <v>1</v>
      </c>
      <c r="D10" s="17">
        <v>28700</v>
      </c>
      <c r="E10" s="17">
        <f>D10*C10</f>
        <v>28700</v>
      </c>
      <c r="F10" s="17">
        <v>14700</v>
      </c>
      <c r="G10" s="17">
        <v>3580</v>
      </c>
      <c r="H10" s="17">
        <v>4180</v>
      </c>
      <c r="I10" s="56">
        <f>F10*G10*H10/1000000000</f>
        <v>219.97667999999999</v>
      </c>
      <c r="J10" s="56">
        <f>I10*C10</f>
        <v>219.97667999999999</v>
      </c>
      <c r="K10" s="11"/>
    </row>
    <row r="11" spans="1:11" s="2" customFormat="1" ht="22.8">
      <c r="A11" s="17" t="s">
        <v>59</v>
      </c>
      <c r="B11" s="17" t="s">
        <v>52</v>
      </c>
      <c r="C11" s="17">
        <v>1</v>
      </c>
      <c r="D11" s="17">
        <v>19060</v>
      </c>
      <c r="E11" s="17">
        <f t="shared" ref="E11:E33" si="0">D11*C11</f>
        <v>19060</v>
      </c>
      <c r="F11" s="17">
        <v>12100</v>
      </c>
      <c r="G11" s="17">
        <v>3660</v>
      </c>
      <c r="H11" s="17">
        <v>4000</v>
      </c>
      <c r="I11" s="56">
        <f t="shared" ref="I11:I33" si="1">F11*G11*H11/1000000000</f>
        <v>177.14400000000001</v>
      </c>
      <c r="J11" s="56">
        <f t="shared" ref="J11:J33" si="2">I11*C11</f>
        <v>177.14400000000001</v>
      </c>
      <c r="K11" s="11"/>
    </row>
    <row r="12" spans="1:11" s="2" customFormat="1" ht="22.8">
      <c r="A12" s="17" t="s">
        <v>60</v>
      </c>
      <c r="B12" s="17" t="s">
        <v>53</v>
      </c>
      <c r="C12" s="17">
        <v>1</v>
      </c>
      <c r="D12" s="17">
        <v>16905</v>
      </c>
      <c r="E12" s="17">
        <f t="shared" si="0"/>
        <v>16905</v>
      </c>
      <c r="F12" s="17">
        <v>12320</v>
      </c>
      <c r="G12" s="17">
        <v>5080</v>
      </c>
      <c r="H12" s="17">
        <v>3900</v>
      </c>
      <c r="I12" s="56">
        <f t="shared" si="1"/>
        <v>244.08384000000001</v>
      </c>
      <c r="J12" s="56">
        <f t="shared" si="2"/>
        <v>244.08384000000001</v>
      </c>
      <c r="K12" s="11"/>
    </row>
    <row r="13" spans="1:11" s="2" customFormat="1" ht="22.8">
      <c r="A13" s="17" t="s">
        <v>61</v>
      </c>
      <c r="B13" s="17" t="s">
        <v>54</v>
      </c>
      <c r="C13" s="17">
        <v>1</v>
      </c>
      <c r="D13" s="17">
        <v>20100</v>
      </c>
      <c r="E13" s="17">
        <f t="shared" si="0"/>
        <v>20100</v>
      </c>
      <c r="F13" s="17">
        <v>11080</v>
      </c>
      <c r="G13" s="17">
        <v>3610</v>
      </c>
      <c r="H13" s="17">
        <v>3640</v>
      </c>
      <c r="I13" s="56">
        <f t="shared" si="1"/>
        <v>145.59563199999999</v>
      </c>
      <c r="J13" s="56">
        <f t="shared" si="2"/>
        <v>145.59563199999999</v>
      </c>
      <c r="K13" s="11"/>
    </row>
    <row r="14" spans="1:11" s="2" customFormat="1" ht="22.8">
      <c r="A14" s="17" t="s">
        <v>62</v>
      </c>
      <c r="B14" s="17" t="s">
        <v>54</v>
      </c>
      <c r="C14" s="17">
        <v>1</v>
      </c>
      <c r="D14" s="17">
        <v>12165</v>
      </c>
      <c r="E14" s="17">
        <f t="shared" si="0"/>
        <v>12165</v>
      </c>
      <c r="F14" s="17">
        <v>11080</v>
      </c>
      <c r="G14" s="17">
        <v>3610</v>
      </c>
      <c r="H14" s="17">
        <v>3900</v>
      </c>
      <c r="I14" s="56">
        <f t="shared" si="1"/>
        <v>155.99531999999999</v>
      </c>
      <c r="J14" s="56">
        <f t="shared" si="2"/>
        <v>155.99531999999999</v>
      </c>
      <c r="K14" s="11"/>
    </row>
    <row r="15" spans="1:11" s="2" customFormat="1" ht="22.8">
      <c r="A15" s="17" t="s">
        <v>63</v>
      </c>
      <c r="B15" s="17" t="s">
        <v>54</v>
      </c>
      <c r="C15" s="17">
        <v>1</v>
      </c>
      <c r="D15" s="17">
        <v>8655</v>
      </c>
      <c r="E15" s="17">
        <f t="shared" si="0"/>
        <v>8655</v>
      </c>
      <c r="F15" s="17">
        <v>11080</v>
      </c>
      <c r="G15" s="17">
        <v>3600</v>
      </c>
      <c r="H15" s="17">
        <v>3750</v>
      </c>
      <c r="I15" s="56">
        <f t="shared" si="1"/>
        <v>149.58000000000001</v>
      </c>
      <c r="J15" s="56">
        <f t="shared" si="2"/>
        <v>149.58000000000001</v>
      </c>
      <c r="K15" s="11"/>
    </row>
    <row r="16" spans="1:11" s="2" customFormat="1" ht="22.8">
      <c r="A16" s="17" t="s">
        <v>64</v>
      </c>
      <c r="B16" s="17" t="s">
        <v>54</v>
      </c>
      <c r="C16" s="17">
        <v>1</v>
      </c>
      <c r="D16" s="17">
        <v>12265</v>
      </c>
      <c r="E16" s="17">
        <f t="shared" si="0"/>
        <v>12265</v>
      </c>
      <c r="F16" s="17">
        <v>11080</v>
      </c>
      <c r="G16" s="17">
        <v>3600</v>
      </c>
      <c r="H16" s="17">
        <v>4190</v>
      </c>
      <c r="I16" s="56">
        <f t="shared" si="1"/>
        <v>167.13072</v>
      </c>
      <c r="J16" s="56">
        <f t="shared" si="2"/>
        <v>167.13072</v>
      </c>
      <c r="K16" s="11"/>
    </row>
    <row r="17" spans="1:11" s="2" customFormat="1" ht="14.1">
      <c r="A17" s="17" t="s">
        <v>65</v>
      </c>
      <c r="B17" s="17" t="s">
        <v>119</v>
      </c>
      <c r="C17" s="17">
        <v>1</v>
      </c>
      <c r="D17" s="17">
        <v>3150</v>
      </c>
      <c r="E17" s="17">
        <f t="shared" si="0"/>
        <v>3150</v>
      </c>
      <c r="F17" s="17">
        <v>4600</v>
      </c>
      <c r="G17" s="17">
        <v>3300</v>
      </c>
      <c r="H17" s="17">
        <v>2400</v>
      </c>
      <c r="I17" s="56">
        <f t="shared" si="1"/>
        <v>36.432000000000002</v>
      </c>
      <c r="J17" s="56">
        <f t="shared" si="2"/>
        <v>36.432000000000002</v>
      </c>
      <c r="K17" s="11"/>
    </row>
    <row r="18" spans="1:11" s="2" customFormat="1" ht="14.1">
      <c r="A18" s="17" t="s">
        <v>66</v>
      </c>
      <c r="B18" s="17" t="s">
        <v>51</v>
      </c>
      <c r="C18" s="17">
        <v>1</v>
      </c>
      <c r="D18" s="17">
        <v>2530</v>
      </c>
      <c r="E18" s="17">
        <f t="shared" si="0"/>
        <v>2530</v>
      </c>
      <c r="F18" s="17">
        <v>4500</v>
      </c>
      <c r="G18" s="17">
        <v>3300</v>
      </c>
      <c r="H18" s="17">
        <v>3800</v>
      </c>
      <c r="I18" s="56">
        <f t="shared" si="1"/>
        <v>56.43</v>
      </c>
      <c r="J18" s="56">
        <f t="shared" si="2"/>
        <v>56.43</v>
      </c>
      <c r="K18" s="11"/>
    </row>
    <row r="19" spans="1:11" s="2" customFormat="1" ht="22.8">
      <c r="A19" s="17" t="s">
        <v>67</v>
      </c>
      <c r="B19" s="17" t="s">
        <v>53</v>
      </c>
      <c r="C19" s="17">
        <v>1</v>
      </c>
      <c r="D19" s="17">
        <v>2965</v>
      </c>
      <c r="E19" s="17">
        <f t="shared" si="0"/>
        <v>2965</v>
      </c>
      <c r="F19" s="17">
        <v>4700</v>
      </c>
      <c r="G19" s="17">
        <v>3300</v>
      </c>
      <c r="H19" s="17">
        <v>2800</v>
      </c>
      <c r="I19" s="56">
        <f t="shared" si="1"/>
        <v>43.427999999999997</v>
      </c>
      <c r="J19" s="56">
        <f t="shared" si="2"/>
        <v>43.427999999999997</v>
      </c>
      <c r="K19" s="11"/>
    </row>
    <row r="20" spans="1:11" s="2" customFormat="1" ht="14.1">
      <c r="A20" s="17" t="s">
        <v>68</v>
      </c>
      <c r="B20" s="17" t="s">
        <v>55</v>
      </c>
      <c r="C20" s="17">
        <v>1</v>
      </c>
      <c r="D20" s="17">
        <v>1930</v>
      </c>
      <c r="E20" s="17">
        <f t="shared" si="0"/>
        <v>1930</v>
      </c>
      <c r="F20" s="17">
        <v>5000</v>
      </c>
      <c r="G20" s="17">
        <v>3000</v>
      </c>
      <c r="H20" s="17">
        <v>2600</v>
      </c>
      <c r="I20" s="56">
        <f t="shared" si="1"/>
        <v>39</v>
      </c>
      <c r="J20" s="56">
        <f t="shared" si="2"/>
        <v>39</v>
      </c>
      <c r="K20" s="11"/>
    </row>
    <row r="21" spans="1:11" s="2" customFormat="1" ht="14.1">
      <c r="A21" s="17" t="s">
        <v>69</v>
      </c>
      <c r="B21" s="17" t="s">
        <v>90</v>
      </c>
      <c r="C21" s="17">
        <v>1</v>
      </c>
      <c r="D21" s="17">
        <v>2400</v>
      </c>
      <c r="E21" s="17">
        <f t="shared" si="0"/>
        <v>2400</v>
      </c>
      <c r="F21" s="17">
        <v>4000</v>
      </c>
      <c r="G21" s="17">
        <v>3000</v>
      </c>
      <c r="H21" s="17">
        <v>3000</v>
      </c>
      <c r="I21" s="56">
        <f t="shared" si="1"/>
        <v>36</v>
      </c>
      <c r="J21" s="56">
        <f t="shared" si="2"/>
        <v>36</v>
      </c>
      <c r="K21" s="11"/>
    </row>
    <row r="22" spans="1:11" s="2" customFormat="1" ht="14.1">
      <c r="A22" s="17" t="s">
        <v>70</v>
      </c>
      <c r="B22" s="17" t="s">
        <v>56</v>
      </c>
      <c r="C22" s="17">
        <v>1</v>
      </c>
      <c r="D22" s="17">
        <v>16000</v>
      </c>
      <c r="E22" s="17">
        <f t="shared" si="0"/>
        <v>16000</v>
      </c>
      <c r="F22" s="17">
        <v>7500</v>
      </c>
      <c r="G22" s="17">
        <v>2600</v>
      </c>
      <c r="H22" s="17">
        <v>3100</v>
      </c>
      <c r="I22" s="56">
        <f t="shared" si="1"/>
        <v>60.45</v>
      </c>
      <c r="J22" s="56">
        <f t="shared" si="2"/>
        <v>60.45</v>
      </c>
      <c r="K22" s="11"/>
    </row>
    <row r="23" spans="1:11" s="2" customFormat="1" ht="14.1">
      <c r="A23" s="17" t="s">
        <v>71</v>
      </c>
      <c r="B23" s="17" t="s">
        <v>57</v>
      </c>
      <c r="C23" s="17">
        <v>1</v>
      </c>
      <c r="D23" s="17">
        <v>28000</v>
      </c>
      <c r="E23" s="17">
        <f t="shared" si="0"/>
        <v>28000</v>
      </c>
      <c r="F23" s="17">
        <v>11900</v>
      </c>
      <c r="G23" s="17">
        <v>3500</v>
      </c>
      <c r="H23" s="17">
        <v>3120</v>
      </c>
      <c r="I23" s="56">
        <f t="shared" si="1"/>
        <v>129.94800000000001</v>
      </c>
      <c r="J23" s="56">
        <f t="shared" si="2"/>
        <v>129.94800000000001</v>
      </c>
      <c r="K23" s="11"/>
    </row>
    <row r="24" spans="1:11" s="2" customFormat="1" ht="14.1">
      <c r="A24" s="17" t="s">
        <v>72</v>
      </c>
      <c r="B24" s="17" t="s">
        <v>41</v>
      </c>
      <c r="C24" s="17">
        <v>1</v>
      </c>
      <c r="D24" s="17">
        <v>28500</v>
      </c>
      <c r="E24" s="17">
        <f t="shared" si="0"/>
        <v>28500</v>
      </c>
      <c r="F24" s="17">
        <v>10000</v>
      </c>
      <c r="G24" s="17">
        <v>3700</v>
      </c>
      <c r="H24" s="17">
        <v>4050</v>
      </c>
      <c r="I24" s="56">
        <f t="shared" si="1"/>
        <v>149.85</v>
      </c>
      <c r="J24" s="56">
        <f t="shared" si="2"/>
        <v>149.85</v>
      </c>
      <c r="K24" s="11"/>
    </row>
    <row r="25" spans="1:11" s="2" customFormat="1" ht="14.1">
      <c r="A25" s="17" t="s">
        <v>73</v>
      </c>
      <c r="B25" s="17" t="s">
        <v>17</v>
      </c>
      <c r="C25" s="17">
        <v>4</v>
      </c>
      <c r="D25" s="17">
        <v>2300</v>
      </c>
      <c r="E25" s="17">
        <f t="shared" si="0"/>
        <v>9200</v>
      </c>
      <c r="F25" s="17">
        <v>5000</v>
      </c>
      <c r="G25" s="17">
        <v>3000</v>
      </c>
      <c r="H25" s="17">
        <v>380</v>
      </c>
      <c r="I25" s="56">
        <f t="shared" si="1"/>
        <v>5.7</v>
      </c>
      <c r="J25" s="56">
        <f t="shared" si="2"/>
        <v>22.8</v>
      </c>
      <c r="K25" s="11"/>
    </row>
    <row r="26" spans="1:11" s="2" customFormat="1" ht="14.1">
      <c r="A26" s="17" t="s">
        <v>74</v>
      </c>
      <c r="B26" s="17" t="s">
        <v>51</v>
      </c>
      <c r="C26" s="17">
        <v>1</v>
      </c>
      <c r="D26" s="17">
        <v>7500</v>
      </c>
      <c r="E26" s="17">
        <f t="shared" si="0"/>
        <v>7500</v>
      </c>
      <c r="F26" s="17">
        <v>7400</v>
      </c>
      <c r="G26" s="17">
        <v>2400</v>
      </c>
      <c r="H26" s="17">
        <v>2100</v>
      </c>
      <c r="I26" s="56">
        <f t="shared" si="1"/>
        <v>37.295999999999999</v>
      </c>
      <c r="J26" s="56">
        <f t="shared" si="2"/>
        <v>37.295999999999999</v>
      </c>
      <c r="K26" s="11"/>
    </row>
    <row r="27" spans="1:11" s="2" customFormat="1" ht="14.1">
      <c r="A27" s="17" t="s">
        <v>75</v>
      </c>
      <c r="B27" s="17" t="s">
        <v>55</v>
      </c>
      <c r="C27" s="17">
        <v>1</v>
      </c>
      <c r="D27" s="17">
        <v>5500</v>
      </c>
      <c r="E27" s="17">
        <f t="shared" si="0"/>
        <v>5500</v>
      </c>
      <c r="F27" s="17">
        <v>6400</v>
      </c>
      <c r="G27" s="17">
        <v>2500</v>
      </c>
      <c r="H27" s="17">
        <v>2500</v>
      </c>
      <c r="I27" s="56">
        <f t="shared" si="1"/>
        <v>40</v>
      </c>
      <c r="J27" s="56">
        <f t="shared" si="2"/>
        <v>40</v>
      </c>
      <c r="K27" s="11"/>
    </row>
    <row r="28" spans="1:11" s="2" customFormat="1" ht="22.8">
      <c r="A28" s="17" t="s">
        <v>76</v>
      </c>
      <c r="B28" s="17" t="s">
        <v>54</v>
      </c>
      <c r="C28" s="17">
        <v>1</v>
      </c>
      <c r="D28" s="17">
        <v>7500</v>
      </c>
      <c r="E28" s="17">
        <f t="shared" si="0"/>
        <v>7500</v>
      </c>
      <c r="F28" s="17">
        <v>7400</v>
      </c>
      <c r="G28" s="17">
        <v>2400</v>
      </c>
      <c r="H28" s="17">
        <v>2100</v>
      </c>
      <c r="I28" s="56">
        <f t="shared" si="1"/>
        <v>37.295999999999999</v>
      </c>
      <c r="J28" s="56">
        <f t="shared" si="2"/>
        <v>37.295999999999999</v>
      </c>
      <c r="K28" s="11"/>
    </row>
    <row r="29" spans="1:11" s="2" customFormat="1" ht="22.8">
      <c r="A29" s="17" t="s">
        <v>102</v>
      </c>
      <c r="B29" s="17" t="s">
        <v>43</v>
      </c>
      <c r="C29" s="17">
        <v>1</v>
      </c>
      <c r="D29" s="17">
        <v>2300</v>
      </c>
      <c r="E29" s="17">
        <f t="shared" si="0"/>
        <v>2300</v>
      </c>
      <c r="F29" s="17">
        <v>4628</v>
      </c>
      <c r="G29" s="17">
        <v>2200</v>
      </c>
      <c r="H29" s="17">
        <v>2200</v>
      </c>
      <c r="I29" s="56">
        <f t="shared" si="1"/>
        <v>22.399519999999999</v>
      </c>
      <c r="J29" s="56">
        <f t="shared" si="2"/>
        <v>22.399519999999999</v>
      </c>
      <c r="K29" s="11"/>
    </row>
    <row r="30" spans="1:11" s="2" customFormat="1" ht="22.8">
      <c r="A30" s="17" t="s">
        <v>103</v>
      </c>
      <c r="B30" s="17" t="s">
        <v>43</v>
      </c>
      <c r="C30" s="17">
        <v>1</v>
      </c>
      <c r="D30" s="17">
        <v>4000</v>
      </c>
      <c r="E30" s="17">
        <f t="shared" si="0"/>
        <v>4000</v>
      </c>
      <c r="F30" s="17">
        <v>7346</v>
      </c>
      <c r="G30" s="17">
        <v>2400</v>
      </c>
      <c r="H30" s="17">
        <v>2400</v>
      </c>
      <c r="I30" s="56">
        <f t="shared" si="1"/>
        <v>42.312959999999997</v>
      </c>
      <c r="J30" s="56">
        <f t="shared" si="2"/>
        <v>42.312959999999997</v>
      </c>
      <c r="K30" s="11"/>
    </row>
    <row r="31" spans="1:11" s="2" customFormat="1" ht="14.1">
      <c r="A31" s="17" t="s">
        <v>109</v>
      </c>
      <c r="B31" s="17" t="s">
        <v>38</v>
      </c>
      <c r="C31" s="17">
        <v>1</v>
      </c>
      <c r="D31" s="17">
        <v>2500</v>
      </c>
      <c r="E31" s="17">
        <f t="shared" si="0"/>
        <v>2500</v>
      </c>
      <c r="F31" s="17">
        <v>3150</v>
      </c>
      <c r="G31" s="17">
        <v>1270</v>
      </c>
      <c r="H31" s="17">
        <v>1642</v>
      </c>
      <c r="I31" s="18">
        <f t="shared" si="1"/>
        <v>6.5688209999999998</v>
      </c>
      <c r="J31" s="56">
        <f t="shared" si="2"/>
        <v>6.5688209999999998</v>
      </c>
      <c r="K31" s="24"/>
    </row>
    <row r="32" spans="1:11" s="2" customFormat="1" ht="14.1">
      <c r="A32" s="17" t="s">
        <v>110</v>
      </c>
      <c r="B32" s="17" t="s">
        <v>38</v>
      </c>
      <c r="C32" s="17">
        <v>1</v>
      </c>
      <c r="D32" s="17">
        <v>2500</v>
      </c>
      <c r="E32" s="17">
        <f t="shared" si="0"/>
        <v>2500</v>
      </c>
      <c r="F32" s="17">
        <v>3150</v>
      </c>
      <c r="G32" s="17">
        <v>1270</v>
      </c>
      <c r="H32" s="17">
        <v>1642</v>
      </c>
      <c r="I32" s="18">
        <f t="shared" si="1"/>
        <v>6.5688209999999998</v>
      </c>
      <c r="J32" s="56">
        <f t="shared" si="2"/>
        <v>6.5688209999999998</v>
      </c>
      <c r="K32" s="24"/>
    </row>
    <row r="33" spans="1:11" s="2" customFormat="1" ht="14.1">
      <c r="A33" s="17" t="s">
        <v>111</v>
      </c>
      <c r="B33" s="17" t="s">
        <v>38</v>
      </c>
      <c r="C33" s="17">
        <v>1</v>
      </c>
      <c r="D33" s="17">
        <v>2500</v>
      </c>
      <c r="E33" s="17">
        <f t="shared" si="0"/>
        <v>2500</v>
      </c>
      <c r="F33" s="17">
        <v>3150</v>
      </c>
      <c r="G33" s="17">
        <v>1270</v>
      </c>
      <c r="H33" s="17">
        <v>1642</v>
      </c>
      <c r="I33" s="18">
        <f t="shared" si="1"/>
        <v>6.5688209999999998</v>
      </c>
      <c r="J33" s="56">
        <f t="shared" si="2"/>
        <v>6.5688209999999998</v>
      </c>
      <c r="K33" s="24"/>
    </row>
    <row r="34" spans="1:11" s="2" customFormat="1" ht="14.1">
      <c r="A34" s="71" t="s">
        <v>77</v>
      </c>
      <c r="B34" s="17" t="s">
        <v>19</v>
      </c>
      <c r="C34" s="79">
        <v>1</v>
      </c>
      <c r="D34" s="17">
        <v>6000</v>
      </c>
      <c r="E34" s="71">
        <v>16500</v>
      </c>
      <c r="F34" s="17">
        <v>5800</v>
      </c>
      <c r="G34" s="17">
        <v>2200</v>
      </c>
      <c r="H34" s="17">
        <v>2505</v>
      </c>
      <c r="I34" s="18">
        <f t="shared" ref="I34:I35" si="3">F34*G34*H34/1000000000</f>
        <v>31.963799999999999</v>
      </c>
      <c r="J34" s="77">
        <v>86.33</v>
      </c>
      <c r="K34" s="79" t="s">
        <v>107</v>
      </c>
    </row>
    <row r="35" spans="1:11" s="2" customFormat="1" ht="14.1">
      <c r="A35" s="73"/>
      <c r="B35" s="17" t="s">
        <v>19</v>
      </c>
      <c r="C35" s="80"/>
      <c r="D35" s="17">
        <v>6000</v>
      </c>
      <c r="E35" s="73"/>
      <c r="F35" s="17">
        <v>5800</v>
      </c>
      <c r="G35" s="17">
        <v>2200</v>
      </c>
      <c r="H35" s="17">
        <v>2505</v>
      </c>
      <c r="I35" s="18">
        <f t="shared" si="3"/>
        <v>31.963799999999999</v>
      </c>
      <c r="J35" s="78"/>
      <c r="K35" s="80"/>
    </row>
    <row r="36" spans="1:11" s="2" customFormat="1" ht="24" customHeight="1">
      <c r="A36" s="81" t="s">
        <v>78</v>
      </c>
      <c r="B36" s="17" t="s">
        <v>49</v>
      </c>
      <c r="C36" s="61">
        <v>1</v>
      </c>
      <c r="D36" s="17">
        <v>290</v>
      </c>
      <c r="E36" s="61">
        <v>21900</v>
      </c>
      <c r="F36" s="17">
        <v>1400</v>
      </c>
      <c r="G36" s="17">
        <v>1300</v>
      </c>
      <c r="H36" s="17">
        <v>1200</v>
      </c>
      <c r="I36" s="18">
        <f t="shared" ref="I36:I121" si="4">F36*G36*H36/1000000000</f>
        <v>2.1840000000000002</v>
      </c>
      <c r="J36" s="61">
        <v>86.33</v>
      </c>
      <c r="K36" s="64" t="s">
        <v>46</v>
      </c>
    </row>
    <row r="37" spans="1:11" s="2" customFormat="1" ht="24" customHeight="1">
      <c r="A37" s="81"/>
      <c r="B37" s="17" t="s">
        <v>21</v>
      </c>
      <c r="C37" s="61"/>
      <c r="D37" s="17">
        <v>180</v>
      </c>
      <c r="E37" s="61"/>
      <c r="F37" s="17">
        <v>900</v>
      </c>
      <c r="G37" s="17">
        <v>920</v>
      </c>
      <c r="H37" s="17">
        <v>2250</v>
      </c>
      <c r="I37" s="18">
        <f t="shared" si="4"/>
        <v>1.863</v>
      </c>
      <c r="J37" s="61"/>
      <c r="K37" s="64"/>
    </row>
    <row r="38" spans="1:11" s="2" customFormat="1" ht="22.8">
      <c r="A38" s="81"/>
      <c r="B38" s="17" t="s">
        <v>21</v>
      </c>
      <c r="C38" s="61"/>
      <c r="D38" s="17">
        <v>515</v>
      </c>
      <c r="E38" s="61"/>
      <c r="F38" s="17">
        <v>1120</v>
      </c>
      <c r="G38" s="17">
        <v>1080</v>
      </c>
      <c r="H38" s="17">
        <v>2370</v>
      </c>
      <c r="I38" s="18">
        <f t="shared" si="4"/>
        <v>2.866752</v>
      </c>
      <c r="J38" s="61"/>
      <c r="K38" s="64"/>
    </row>
    <row r="39" spans="1:11" s="2" customFormat="1" ht="14.1">
      <c r="A39" s="81"/>
      <c r="B39" s="17" t="s">
        <v>38</v>
      </c>
      <c r="C39" s="61"/>
      <c r="D39" s="17">
        <v>200</v>
      </c>
      <c r="E39" s="61"/>
      <c r="F39" s="17">
        <v>1300</v>
      </c>
      <c r="G39" s="17">
        <v>740</v>
      </c>
      <c r="H39" s="17">
        <v>1745</v>
      </c>
      <c r="I39" s="18">
        <f t="shared" si="4"/>
        <v>1.67869</v>
      </c>
      <c r="J39" s="61"/>
      <c r="K39" s="64"/>
    </row>
    <row r="40" spans="1:11" s="2" customFormat="1" ht="14.1">
      <c r="A40" s="81"/>
      <c r="B40" s="17" t="s">
        <v>22</v>
      </c>
      <c r="C40" s="61"/>
      <c r="D40" s="17">
        <v>1147</v>
      </c>
      <c r="E40" s="61"/>
      <c r="F40" s="17">
        <v>1645</v>
      </c>
      <c r="G40" s="17">
        <v>1445</v>
      </c>
      <c r="H40" s="17">
        <v>1300</v>
      </c>
      <c r="I40" s="18">
        <f t="shared" si="4"/>
        <v>3.0901325000000002</v>
      </c>
      <c r="J40" s="61"/>
      <c r="K40" s="64"/>
    </row>
    <row r="41" spans="1:11" s="2" customFormat="1" ht="22.8">
      <c r="A41" s="81"/>
      <c r="B41" s="17" t="s">
        <v>21</v>
      </c>
      <c r="C41" s="61"/>
      <c r="D41" s="17">
        <v>150</v>
      </c>
      <c r="E41" s="61"/>
      <c r="F41" s="17">
        <v>2200</v>
      </c>
      <c r="G41" s="17">
        <v>800</v>
      </c>
      <c r="H41" s="17">
        <v>800</v>
      </c>
      <c r="I41" s="18">
        <f t="shared" si="4"/>
        <v>1.4079999999999999</v>
      </c>
      <c r="J41" s="61"/>
      <c r="K41" s="64"/>
    </row>
    <row r="42" spans="1:11" s="2" customFormat="1" ht="22.8">
      <c r="A42" s="81"/>
      <c r="B42" s="17" t="s">
        <v>21</v>
      </c>
      <c r="C42" s="61"/>
      <c r="D42" s="17">
        <v>900</v>
      </c>
      <c r="E42" s="61"/>
      <c r="F42" s="17">
        <v>1500</v>
      </c>
      <c r="G42" s="17">
        <v>1500</v>
      </c>
      <c r="H42" s="17">
        <v>2510</v>
      </c>
      <c r="I42" s="18">
        <f t="shared" si="4"/>
        <v>5.6475</v>
      </c>
      <c r="J42" s="61"/>
      <c r="K42" s="64"/>
    </row>
    <row r="43" spans="1:11" s="2" customFormat="1" ht="14.1">
      <c r="A43" s="81"/>
      <c r="B43" s="17" t="s">
        <v>25</v>
      </c>
      <c r="C43" s="61"/>
      <c r="D43" s="17">
        <v>50</v>
      </c>
      <c r="E43" s="61"/>
      <c r="F43" s="17">
        <v>1100</v>
      </c>
      <c r="G43" s="17">
        <v>1100</v>
      </c>
      <c r="H43" s="17">
        <v>1200</v>
      </c>
      <c r="I43" s="18">
        <f t="shared" si="4"/>
        <v>1.452</v>
      </c>
      <c r="J43" s="61"/>
      <c r="K43" s="64"/>
    </row>
    <row r="44" spans="1:11" s="2" customFormat="1" ht="14.1">
      <c r="A44" s="81"/>
      <c r="B44" s="17" t="s">
        <v>25</v>
      </c>
      <c r="C44" s="61"/>
      <c r="D44" s="17">
        <v>50</v>
      </c>
      <c r="E44" s="61"/>
      <c r="F44" s="17">
        <v>1100</v>
      </c>
      <c r="G44" s="17">
        <v>1100</v>
      </c>
      <c r="H44" s="17">
        <v>1200</v>
      </c>
      <c r="I44" s="18">
        <f t="shared" si="4"/>
        <v>1.452</v>
      </c>
      <c r="J44" s="61"/>
      <c r="K44" s="64"/>
    </row>
    <row r="45" spans="1:11" s="2" customFormat="1" ht="14.1">
      <c r="A45" s="81"/>
      <c r="B45" s="17" t="s">
        <v>22</v>
      </c>
      <c r="C45" s="61"/>
      <c r="D45" s="17">
        <v>50</v>
      </c>
      <c r="E45" s="61"/>
      <c r="F45" s="17">
        <v>1100</v>
      </c>
      <c r="G45" s="17">
        <v>1100</v>
      </c>
      <c r="H45" s="17">
        <v>1200</v>
      </c>
      <c r="I45" s="18">
        <f t="shared" si="4"/>
        <v>1.452</v>
      </c>
      <c r="J45" s="61"/>
      <c r="K45" s="64"/>
    </row>
    <row r="46" spans="1:11" s="2" customFormat="1" ht="14.1">
      <c r="A46" s="81"/>
      <c r="B46" s="17" t="s">
        <v>22</v>
      </c>
      <c r="C46" s="61"/>
      <c r="D46" s="17">
        <v>50</v>
      </c>
      <c r="E46" s="61"/>
      <c r="F46" s="17">
        <v>1100</v>
      </c>
      <c r="G46" s="17">
        <v>1100</v>
      </c>
      <c r="H46" s="17">
        <v>1200</v>
      </c>
      <c r="I46" s="18">
        <f t="shared" si="4"/>
        <v>1.452</v>
      </c>
      <c r="J46" s="61"/>
      <c r="K46" s="64"/>
    </row>
    <row r="47" spans="1:11" s="2" customFormat="1" ht="14.1">
      <c r="A47" s="81"/>
      <c r="B47" s="17" t="s">
        <v>22</v>
      </c>
      <c r="C47" s="61"/>
      <c r="D47" s="17">
        <v>60</v>
      </c>
      <c r="E47" s="61"/>
      <c r="F47" s="17">
        <v>650</v>
      </c>
      <c r="G47" s="17">
        <v>650</v>
      </c>
      <c r="H47" s="17">
        <v>530</v>
      </c>
      <c r="I47" s="18">
        <f t="shared" si="4"/>
        <v>0.22392500000000001</v>
      </c>
      <c r="J47" s="61"/>
      <c r="K47" s="64"/>
    </row>
    <row r="48" spans="1:11" s="2" customFormat="1" ht="24" customHeight="1">
      <c r="A48" s="81"/>
      <c r="B48" s="17" t="s">
        <v>21</v>
      </c>
      <c r="C48" s="61"/>
      <c r="D48" s="17">
        <v>468</v>
      </c>
      <c r="E48" s="61"/>
      <c r="F48" s="17">
        <v>3060</v>
      </c>
      <c r="G48" s="17">
        <v>1900</v>
      </c>
      <c r="H48" s="17">
        <v>550</v>
      </c>
      <c r="I48" s="18">
        <f t="shared" si="4"/>
        <v>3.1977000000000002</v>
      </c>
      <c r="J48" s="61"/>
      <c r="K48" s="64"/>
    </row>
    <row r="49" spans="1:11" s="2" customFormat="1" ht="24" customHeight="1">
      <c r="A49" s="81"/>
      <c r="B49" s="17" t="s">
        <v>21</v>
      </c>
      <c r="C49" s="61"/>
      <c r="D49" s="17">
        <v>444</v>
      </c>
      <c r="E49" s="61"/>
      <c r="F49" s="17">
        <v>1120</v>
      </c>
      <c r="G49" s="17">
        <v>1890</v>
      </c>
      <c r="H49" s="17">
        <v>580</v>
      </c>
      <c r="I49" s="18">
        <f t="shared" si="4"/>
        <v>1.2277439999999999</v>
      </c>
      <c r="J49" s="61"/>
      <c r="K49" s="64"/>
    </row>
    <row r="50" spans="1:11" s="2" customFormat="1" ht="24.75" customHeight="1">
      <c r="A50" s="81"/>
      <c r="B50" s="17" t="s">
        <v>24</v>
      </c>
      <c r="C50" s="61"/>
      <c r="D50" s="17">
        <v>5000</v>
      </c>
      <c r="E50" s="61"/>
      <c r="F50" s="17">
        <v>4500</v>
      </c>
      <c r="G50" s="17">
        <v>2200</v>
      </c>
      <c r="H50" s="17">
        <v>2650</v>
      </c>
      <c r="I50" s="18">
        <f t="shared" si="4"/>
        <v>26.234999999999999</v>
      </c>
      <c r="J50" s="61"/>
      <c r="K50" s="64"/>
    </row>
    <row r="51" spans="1:11" s="2" customFormat="1" ht="15" customHeight="1">
      <c r="A51" s="81"/>
      <c r="B51" s="17" t="s">
        <v>22</v>
      </c>
      <c r="C51" s="61"/>
      <c r="D51" s="17">
        <v>70</v>
      </c>
      <c r="E51" s="61"/>
      <c r="F51" s="17">
        <v>1620</v>
      </c>
      <c r="G51" s="17">
        <v>660</v>
      </c>
      <c r="H51" s="17">
        <v>720</v>
      </c>
      <c r="I51" s="18">
        <f t="shared" si="4"/>
        <v>0.76982399999999995</v>
      </c>
      <c r="J51" s="61"/>
      <c r="K51" s="64"/>
    </row>
    <row r="52" spans="1:11" s="2" customFormat="1" ht="14.25" customHeight="1">
      <c r="A52" s="81"/>
      <c r="B52" s="17" t="s">
        <v>51</v>
      </c>
      <c r="C52" s="61"/>
      <c r="D52" s="17">
        <v>560</v>
      </c>
      <c r="E52" s="61"/>
      <c r="F52" s="17">
        <v>1500</v>
      </c>
      <c r="G52" s="17">
        <v>2150</v>
      </c>
      <c r="H52" s="17">
        <v>1900</v>
      </c>
      <c r="I52" s="18">
        <f t="shared" si="4"/>
        <v>6.1275000000000004</v>
      </c>
      <c r="J52" s="61"/>
      <c r="K52" s="64"/>
    </row>
    <row r="53" spans="1:11" s="2" customFormat="1" ht="22.8">
      <c r="A53" s="81"/>
      <c r="B53" s="17" t="s">
        <v>21</v>
      </c>
      <c r="C53" s="61"/>
      <c r="D53" s="17">
        <v>52</v>
      </c>
      <c r="E53" s="61"/>
      <c r="F53" s="17">
        <v>670</v>
      </c>
      <c r="G53" s="17">
        <v>570</v>
      </c>
      <c r="H53" s="17">
        <v>1260</v>
      </c>
      <c r="I53" s="18">
        <f t="shared" si="4"/>
        <v>0.48119400000000001</v>
      </c>
      <c r="J53" s="61"/>
      <c r="K53" s="64"/>
    </row>
    <row r="54" spans="1:11" s="2" customFormat="1" ht="14.1">
      <c r="A54" s="81"/>
      <c r="B54" s="17" t="s">
        <v>22</v>
      </c>
      <c r="C54" s="61"/>
      <c r="D54" s="17">
        <v>40</v>
      </c>
      <c r="E54" s="61"/>
      <c r="F54" s="17">
        <v>910</v>
      </c>
      <c r="G54" s="17">
        <v>860</v>
      </c>
      <c r="H54" s="17">
        <v>550</v>
      </c>
      <c r="I54" s="18">
        <f t="shared" si="4"/>
        <v>0.43042999999999998</v>
      </c>
      <c r="J54" s="61"/>
      <c r="K54" s="64"/>
    </row>
    <row r="55" spans="1:11" s="2" customFormat="1" ht="14.1">
      <c r="A55" s="81"/>
      <c r="B55" s="17" t="s">
        <v>91</v>
      </c>
      <c r="C55" s="61"/>
      <c r="D55" s="17">
        <v>280</v>
      </c>
      <c r="E55" s="61"/>
      <c r="F55" s="17"/>
      <c r="G55" s="17"/>
      <c r="H55" s="17"/>
      <c r="I55" s="18"/>
      <c r="J55" s="61"/>
      <c r="K55" s="64"/>
    </row>
    <row r="56" spans="1:11" s="2" customFormat="1" ht="24" customHeight="1">
      <c r="A56" s="81" t="s">
        <v>79</v>
      </c>
      <c r="B56" s="17" t="s">
        <v>26</v>
      </c>
      <c r="C56" s="61">
        <v>1</v>
      </c>
      <c r="D56" s="17">
        <v>222</v>
      </c>
      <c r="E56" s="61">
        <v>13500</v>
      </c>
      <c r="F56" s="17">
        <v>440</v>
      </c>
      <c r="G56" s="17">
        <v>550</v>
      </c>
      <c r="H56" s="17">
        <v>700</v>
      </c>
      <c r="I56" s="18">
        <f t="shared" si="4"/>
        <v>0.1694</v>
      </c>
      <c r="J56" s="61">
        <v>86.33</v>
      </c>
      <c r="K56" s="64" t="s">
        <v>47</v>
      </c>
    </row>
    <row r="57" spans="1:11" s="2" customFormat="1" ht="24" customHeight="1">
      <c r="A57" s="81"/>
      <c r="B57" s="17" t="s">
        <v>26</v>
      </c>
      <c r="C57" s="61"/>
      <c r="D57" s="17">
        <v>50</v>
      </c>
      <c r="E57" s="61"/>
      <c r="F57" s="17">
        <v>680</v>
      </c>
      <c r="G57" s="17">
        <v>820</v>
      </c>
      <c r="H57" s="17">
        <v>760</v>
      </c>
      <c r="I57" s="18">
        <f t="shared" si="4"/>
        <v>0.42377599999999999</v>
      </c>
      <c r="J57" s="61"/>
      <c r="K57" s="64"/>
    </row>
    <row r="58" spans="1:11" s="2" customFormat="1" ht="24" customHeight="1">
      <c r="A58" s="81"/>
      <c r="B58" s="17" t="s">
        <v>26</v>
      </c>
      <c r="C58" s="61"/>
      <c r="D58" s="17">
        <v>56</v>
      </c>
      <c r="E58" s="61"/>
      <c r="F58" s="17">
        <v>680</v>
      </c>
      <c r="G58" s="17">
        <v>820</v>
      </c>
      <c r="H58" s="17">
        <v>960</v>
      </c>
      <c r="I58" s="18">
        <f t="shared" si="4"/>
        <v>0.53529599999999999</v>
      </c>
      <c r="J58" s="61"/>
      <c r="K58" s="64"/>
    </row>
    <row r="59" spans="1:11" s="2" customFormat="1" ht="20.25" customHeight="1">
      <c r="A59" s="81"/>
      <c r="B59" s="17" t="s">
        <v>22</v>
      </c>
      <c r="C59" s="61"/>
      <c r="D59" s="17">
        <v>511</v>
      </c>
      <c r="E59" s="61"/>
      <c r="F59" s="17">
        <v>1460</v>
      </c>
      <c r="G59" s="17">
        <v>650</v>
      </c>
      <c r="H59" s="17">
        <v>920</v>
      </c>
      <c r="I59" s="18">
        <f t="shared" si="4"/>
        <v>0.87307999999999997</v>
      </c>
      <c r="J59" s="61"/>
      <c r="K59" s="64"/>
    </row>
    <row r="60" spans="1:11" s="2" customFormat="1" ht="20.25" customHeight="1">
      <c r="A60" s="81"/>
      <c r="B60" s="17" t="s">
        <v>22</v>
      </c>
      <c r="C60" s="61"/>
      <c r="D60" s="17">
        <v>64</v>
      </c>
      <c r="E60" s="61"/>
      <c r="F60" s="17">
        <v>780</v>
      </c>
      <c r="G60" s="17">
        <v>560</v>
      </c>
      <c r="H60" s="17">
        <v>440</v>
      </c>
      <c r="I60" s="18">
        <f t="shared" si="4"/>
        <v>0.192192</v>
      </c>
      <c r="J60" s="61"/>
      <c r="K60" s="64"/>
    </row>
    <row r="61" spans="1:11" s="2" customFormat="1" ht="20.25" customHeight="1">
      <c r="A61" s="81"/>
      <c r="B61" s="17" t="s">
        <v>19</v>
      </c>
      <c r="C61" s="61"/>
      <c r="D61" s="17">
        <v>6000</v>
      </c>
      <c r="E61" s="61"/>
      <c r="F61" s="17">
        <v>5800</v>
      </c>
      <c r="G61" s="17">
        <v>2200</v>
      </c>
      <c r="H61" s="17">
        <v>2505</v>
      </c>
      <c r="I61" s="18">
        <f t="shared" si="4"/>
        <v>31.963799999999999</v>
      </c>
      <c r="J61" s="61"/>
      <c r="K61" s="64"/>
    </row>
    <row r="62" spans="1:11" s="2" customFormat="1" ht="20.25" customHeight="1">
      <c r="A62" s="81"/>
      <c r="B62" s="17" t="s">
        <v>27</v>
      </c>
      <c r="C62" s="61"/>
      <c r="D62" s="17">
        <v>200</v>
      </c>
      <c r="E62" s="61"/>
      <c r="F62" s="17">
        <v>1300</v>
      </c>
      <c r="G62" s="17">
        <v>740</v>
      </c>
      <c r="H62" s="17">
        <v>1745</v>
      </c>
      <c r="I62" s="18">
        <f t="shared" si="4"/>
        <v>1.67869</v>
      </c>
      <c r="J62" s="61"/>
      <c r="K62" s="64"/>
    </row>
    <row r="63" spans="1:11" s="2" customFormat="1" ht="14.1">
      <c r="A63" s="81"/>
      <c r="B63" s="17" t="s">
        <v>28</v>
      </c>
      <c r="C63" s="61"/>
      <c r="D63" s="17">
        <v>720</v>
      </c>
      <c r="E63" s="61"/>
      <c r="F63" s="17">
        <v>1220</v>
      </c>
      <c r="G63" s="17">
        <v>650</v>
      </c>
      <c r="H63" s="17">
        <v>1020</v>
      </c>
      <c r="I63" s="18">
        <f t="shared" si="4"/>
        <v>0.80886000000000002</v>
      </c>
      <c r="J63" s="61"/>
      <c r="K63" s="64"/>
    </row>
    <row r="64" spans="1:11" s="2" customFormat="1" ht="14.1">
      <c r="A64" s="81"/>
      <c r="B64" s="17" t="s">
        <v>29</v>
      </c>
      <c r="C64" s="61"/>
      <c r="D64" s="17">
        <v>230</v>
      </c>
      <c r="E64" s="61"/>
      <c r="F64" s="17">
        <v>1600</v>
      </c>
      <c r="G64" s="17">
        <v>550</v>
      </c>
      <c r="H64" s="17">
        <v>500</v>
      </c>
      <c r="I64" s="18">
        <f t="shared" si="4"/>
        <v>0.44</v>
      </c>
      <c r="J64" s="61"/>
      <c r="K64" s="64"/>
    </row>
    <row r="65" spans="1:11" s="2" customFormat="1" ht="14.1">
      <c r="A65" s="81"/>
      <c r="B65" s="17" t="s">
        <v>29</v>
      </c>
      <c r="C65" s="61"/>
      <c r="D65" s="17">
        <v>153</v>
      </c>
      <c r="E65" s="61"/>
      <c r="F65" s="17">
        <v>1180</v>
      </c>
      <c r="G65" s="17">
        <v>500</v>
      </c>
      <c r="H65" s="17">
        <v>450</v>
      </c>
      <c r="I65" s="18">
        <f t="shared" si="4"/>
        <v>0.26550000000000001</v>
      </c>
      <c r="J65" s="61"/>
      <c r="K65" s="64"/>
    </row>
    <row r="66" spans="1:11" s="2" customFormat="1" ht="14.1">
      <c r="A66" s="81"/>
      <c r="B66" s="17" t="s">
        <v>30</v>
      </c>
      <c r="C66" s="61"/>
      <c r="D66" s="17">
        <v>140</v>
      </c>
      <c r="E66" s="61"/>
      <c r="F66" s="17">
        <v>490</v>
      </c>
      <c r="G66" s="17">
        <v>490</v>
      </c>
      <c r="H66" s="17">
        <v>670</v>
      </c>
      <c r="I66" s="18">
        <f t="shared" si="4"/>
        <v>0.16086700000000001</v>
      </c>
      <c r="J66" s="61"/>
      <c r="K66" s="64"/>
    </row>
    <row r="67" spans="1:11" s="2" customFormat="1" ht="14.1">
      <c r="A67" s="81"/>
      <c r="B67" s="17" t="s">
        <v>30</v>
      </c>
      <c r="C67" s="61"/>
      <c r="D67" s="17">
        <v>200</v>
      </c>
      <c r="E67" s="61"/>
      <c r="F67" s="17">
        <v>1000</v>
      </c>
      <c r="G67" s="17">
        <v>850</v>
      </c>
      <c r="H67" s="17">
        <v>950</v>
      </c>
      <c r="I67" s="18">
        <f t="shared" si="4"/>
        <v>0.8075</v>
      </c>
      <c r="J67" s="61"/>
      <c r="K67" s="64"/>
    </row>
    <row r="68" spans="1:11" s="2" customFormat="1" ht="14.1">
      <c r="A68" s="81"/>
      <c r="B68" s="17" t="s">
        <v>30</v>
      </c>
      <c r="C68" s="61"/>
      <c r="D68" s="17">
        <v>50</v>
      </c>
      <c r="E68" s="61"/>
      <c r="F68" s="17">
        <v>700</v>
      </c>
      <c r="G68" s="17">
        <v>550</v>
      </c>
      <c r="H68" s="17">
        <v>750</v>
      </c>
      <c r="I68" s="18">
        <f t="shared" si="4"/>
        <v>0.28875000000000001</v>
      </c>
      <c r="J68" s="61"/>
      <c r="K68" s="64"/>
    </row>
    <row r="69" spans="1:11" s="2" customFormat="1" ht="14.1">
      <c r="A69" s="81"/>
      <c r="B69" s="17" t="s">
        <v>31</v>
      </c>
      <c r="C69" s="61"/>
      <c r="D69" s="17">
        <v>300</v>
      </c>
      <c r="E69" s="61"/>
      <c r="F69" s="17">
        <v>2200</v>
      </c>
      <c r="G69" s="17">
        <v>1500</v>
      </c>
      <c r="H69" s="17">
        <v>1600</v>
      </c>
      <c r="I69" s="18">
        <f t="shared" si="4"/>
        <v>5.28</v>
      </c>
      <c r="J69" s="61"/>
      <c r="K69" s="64"/>
    </row>
    <row r="70" spans="1:11" s="2" customFormat="1" ht="14.1">
      <c r="A70" s="81"/>
      <c r="B70" s="17" t="s">
        <v>31</v>
      </c>
      <c r="C70" s="61"/>
      <c r="D70" s="17">
        <v>60</v>
      </c>
      <c r="E70" s="61"/>
      <c r="F70" s="17">
        <v>1900</v>
      </c>
      <c r="G70" s="17">
        <v>630</v>
      </c>
      <c r="H70" s="17">
        <v>580</v>
      </c>
      <c r="I70" s="18">
        <f t="shared" si="4"/>
        <v>0.69425999999999999</v>
      </c>
      <c r="J70" s="61"/>
      <c r="K70" s="64"/>
    </row>
    <row r="71" spans="1:11" s="2" customFormat="1" ht="14.1">
      <c r="A71" s="81"/>
      <c r="B71" s="17" t="s">
        <v>32</v>
      </c>
      <c r="C71" s="61"/>
      <c r="D71" s="17">
        <v>200</v>
      </c>
      <c r="E71" s="61"/>
      <c r="F71" s="17">
        <v>1300</v>
      </c>
      <c r="G71" s="17">
        <v>750</v>
      </c>
      <c r="H71" s="17">
        <v>500</v>
      </c>
      <c r="I71" s="18">
        <f t="shared" si="4"/>
        <v>0.48749999999999999</v>
      </c>
      <c r="J71" s="61"/>
      <c r="K71" s="64"/>
    </row>
    <row r="72" spans="1:11" s="2" customFormat="1" ht="24" customHeight="1">
      <c r="A72" s="81"/>
      <c r="B72" s="17" t="s">
        <v>34</v>
      </c>
      <c r="C72" s="61"/>
      <c r="D72" s="17">
        <v>46</v>
      </c>
      <c r="E72" s="61"/>
      <c r="F72" s="17">
        <v>560</v>
      </c>
      <c r="G72" s="17">
        <v>620</v>
      </c>
      <c r="H72" s="17">
        <v>720</v>
      </c>
      <c r="I72" s="18">
        <f t="shared" si="4"/>
        <v>0.24998400000000001</v>
      </c>
      <c r="J72" s="61"/>
      <c r="K72" s="64"/>
    </row>
    <row r="73" spans="1:11" s="2" customFormat="1" ht="14.1">
      <c r="A73" s="81" t="s">
        <v>80</v>
      </c>
      <c r="B73" s="17" t="s">
        <v>92</v>
      </c>
      <c r="C73" s="61">
        <v>1</v>
      </c>
      <c r="D73" s="17">
        <v>3200</v>
      </c>
      <c r="E73" s="61">
        <v>20000</v>
      </c>
      <c r="F73" s="17">
        <v>2400</v>
      </c>
      <c r="G73" s="17">
        <v>2400</v>
      </c>
      <c r="H73" s="17">
        <v>1360</v>
      </c>
      <c r="I73" s="18">
        <f t="shared" si="4"/>
        <v>7.8335999999999997</v>
      </c>
      <c r="J73" s="61">
        <v>86.33</v>
      </c>
      <c r="K73" s="64" t="s">
        <v>33</v>
      </c>
    </row>
    <row r="74" spans="1:11" s="2" customFormat="1" ht="14.1">
      <c r="A74" s="81"/>
      <c r="B74" s="17" t="s">
        <v>92</v>
      </c>
      <c r="C74" s="61"/>
      <c r="D74" s="17">
        <v>2350</v>
      </c>
      <c r="E74" s="61"/>
      <c r="F74" s="17">
        <v>1500</v>
      </c>
      <c r="G74" s="17">
        <v>1500</v>
      </c>
      <c r="H74" s="17">
        <v>2510</v>
      </c>
      <c r="I74" s="18">
        <f t="shared" si="4"/>
        <v>5.6475</v>
      </c>
      <c r="J74" s="61"/>
      <c r="K74" s="64"/>
    </row>
    <row r="75" spans="1:11" s="2" customFormat="1" ht="14.1">
      <c r="A75" s="81"/>
      <c r="B75" s="17" t="s">
        <v>93</v>
      </c>
      <c r="C75" s="61"/>
      <c r="D75" s="17">
        <v>1000</v>
      </c>
      <c r="E75" s="61"/>
      <c r="F75" s="17">
        <v>750</v>
      </c>
      <c r="G75" s="17">
        <v>750</v>
      </c>
      <c r="H75" s="17">
        <v>850</v>
      </c>
      <c r="I75" s="18">
        <f t="shared" si="4"/>
        <v>0.47812500000000002</v>
      </c>
      <c r="J75" s="61"/>
      <c r="K75" s="64"/>
    </row>
    <row r="76" spans="1:11" s="2" customFormat="1" ht="14.1">
      <c r="A76" s="81"/>
      <c r="B76" s="17" t="s">
        <v>93</v>
      </c>
      <c r="C76" s="61"/>
      <c r="D76" s="17">
        <v>1040</v>
      </c>
      <c r="E76" s="61"/>
      <c r="F76" s="17">
        <v>750</v>
      </c>
      <c r="G76" s="17">
        <v>750</v>
      </c>
      <c r="H76" s="17">
        <v>850</v>
      </c>
      <c r="I76" s="18">
        <f t="shared" si="4"/>
        <v>0.47812500000000002</v>
      </c>
      <c r="J76" s="61"/>
      <c r="K76" s="64"/>
    </row>
    <row r="77" spans="1:11" s="2" customFormat="1" ht="14.1">
      <c r="A77" s="81"/>
      <c r="B77" s="17" t="s">
        <v>93</v>
      </c>
      <c r="C77" s="61"/>
      <c r="D77" s="17">
        <v>300</v>
      </c>
      <c r="E77" s="61"/>
      <c r="F77" s="17">
        <v>750</v>
      </c>
      <c r="G77" s="17">
        <v>750</v>
      </c>
      <c r="H77" s="17">
        <v>850</v>
      </c>
      <c r="I77" s="18">
        <f t="shared" si="4"/>
        <v>0.47812500000000002</v>
      </c>
      <c r="J77" s="61"/>
      <c r="K77" s="64"/>
    </row>
    <row r="78" spans="1:11" s="2" customFormat="1" ht="14.1">
      <c r="A78" s="81"/>
      <c r="B78" s="17" t="s">
        <v>32</v>
      </c>
      <c r="C78" s="61"/>
      <c r="D78" s="17">
        <v>5000</v>
      </c>
      <c r="E78" s="61"/>
      <c r="F78" s="17">
        <v>9500</v>
      </c>
      <c r="G78" s="17">
        <v>2260</v>
      </c>
      <c r="H78" s="17">
        <v>2300</v>
      </c>
      <c r="I78" s="18">
        <f t="shared" si="4"/>
        <v>49.381</v>
      </c>
      <c r="J78" s="61"/>
      <c r="K78" s="64"/>
    </row>
    <row r="79" spans="1:11" s="2" customFormat="1" ht="22.8">
      <c r="A79" s="81" t="s">
        <v>81</v>
      </c>
      <c r="B79" s="17" t="s">
        <v>35</v>
      </c>
      <c r="C79" s="61">
        <v>1</v>
      </c>
      <c r="D79" s="17">
        <v>36</v>
      </c>
      <c r="E79" s="61">
        <v>24000</v>
      </c>
      <c r="F79" s="17">
        <v>550</v>
      </c>
      <c r="G79" s="17">
        <v>740</v>
      </c>
      <c r="H79" s="17">
        <v>420</v>
      </c>
      <c r="I79" s="18">
        <f t="shared" si="4"/>
        <v>0.17094000000000001</v>
      </c>
      <c r="J79" s="61">
        <v>86.33</v>
      </c>
      <c r="K79" s="64" t="s">
        <v>33</v>
      </c>
    </row>
    <row r="80" spans="1:11" s="2" customFormat="1" ht="22.8">
      <c r="A80" s="81"/>
      <c r="B80" s="17" t="s">
        <v>35</v>
      </c>
      <c r="C80" s="61"/>
      <c r="D80" s="17">
        <v>5680</v>
      </c>
      <c r="E80" s="61"/>
      <c r="F80" s="17">
        <v>2750</v>
      </c>
      <c r="G80" s="17">
        <v>2270</v>
      </c>
      <c r="H80" s="17">
        <v>2260</v>
      </c>
      <c r="I80" s="18">
        <f t="shared" si="4"/>
        <v>14.10805</v>
      </c>
      <c r="J80" s="61"/>
      <c r="K80" s="64"/>
    </row>
    <row r="81" spans="1:11" s="2" customFormat="1" ht="14.1">
      <c r="A81" s="81"/>
      <c r="B81" s="17" t="s">
        <v>36</v>
      </c>
      <c r="C81" s="61"/>
      <c r="D81" s="17">
        <v>6750</v>
      </c>
      <c r="E81" s="61"/>
      <c r="F81" s="17">
        <v>2900</v>
      </c>
      <c r="G81" s="17">
        <v>1900</v>
      </c>
      <c r="H81" s="17">
        <v>2510</v>
      </c>
      <c r="I81" s="18">
        <f t="shared" si="4"/>
        <v>13.8301</v>
      </c>
      <c r="J81" s="61"/>
      <c r="K81" s="64"/>
    </row>
    <row r="82" spans="1:11" s="2" customFormat="1" ht="14.1">
      <c r="A82" s="81"/>
      <c r="B82" s="17" t="s">
        <v>37</v>
      </c>
      <c r="C82" s="61"/>
      <c r="D82" s="17">
        <v>2000</v>
      </c>
      <c r="E82" s="61"/>
      <c r="F82" s="17">
        <v>4950</v>
      </c>
      <c r="G82" s="17">
        <v>1000</v>
      </c>
      <c r="H82" s="17">
        <v>2200</v>
      </c>
      <c r="I82" s="18">
        <f t="shared" si="4"/>
        <v>10.89</v>
      </c>
      <c r="J82" s="61"/>
      <c r="K82" s="64"/>
    </row>
    <row r="83" spans="1:11" s="2" customFormat="1" ht="14.1">
      <c r="A83" s="81"/>
      <c r="B83" s="17" t="s">
        <v>38</v>
      </c>
      <c r="C83" s="61"/>
      <c r="D83" s="17">
        <v>2500</v>
      </c>
      <c r="E83" s="61"/>
      <c r="F83" s="17">
        <v>3150</v>
      </c>
      <c r="G83" s="17">
        <v>1270</v>
      </c>
      <c r="H83" s="17">
        <v>1642</v>
      </c>
      <c r="I83" s="18">
        <f t="shared" si="4"/>
        <v>6.5688209999999998</v>
      </c>
      <c r="J83" s="61"/>
      <c r="K83" s="64"/>
    </row>
    <row r="84" spans="1:11" s="2" customFormat="1" ht="14.1">
      <c r="A84" s="81"/>
      <c r="B84" s="17" t="s">
        <v>38</v>
      </c>
      <c r="C84" s="61"/>
      <c r="D84" s="17">
        <v>2500</v>
      </c>
      <c r="E84" s="61"/>
      <c r="F84" s="17">
        <v>3150</v>
      </c>
      <c r="G84" s="17">
        <v>1270</v>
      </c>
      <c r="H84" s="17">
        <v>1642</v>
      </c>
      <c r="I84" s="18">
        <f t="shared" si="4"/>
        <v>6.5688209999999998</v>
      </c>
      <c r="J84" s="61"/>
      <c r="K84" s="64"/>
    </row>
    <row r="85" spans="1:11" s="2" customFormat="1" ht="22.8">
      <c r="A85" s="81" t="s">
        <v>82</v>
      </c>
      <c r="B85" s="17" t="s">
        <v>35</v>
      </c>
      <c r="C85" s="61">
        <v>1</v>
      </c>
      <c r="D85" s="17">
        <v>730</v>
      </c>
      <c r="E85" s="61">
        <v>20500</v>
      </c>
      <c r="F85" s="17">
        <v>1620</v>
      </c>
      <c r="G85" s="17">
        <v>900</v>
      </c>
      <c r="H85" s="17">
        <v>2440</v>
      </c>
      <c r="I85" s="18">
        <f t="shared" si="4"/>
        <v>3.5575199999999998</v>
      </c>
      <c r="J85" s="63">
        <v>86.33</v>
      </c>
      <c r="K85" s="64" t="s">
        <v>99</v>
      </c>
    </row>
    <row r="86" spans="1:11" s="2" customFormat="1" ht="22.8">
      <c r="A86" s="81"/>
      <c r="B86" s="17" t="s">
        <v>35</v>
      </c>
      <c r="C86" s="61"/>
      <c r="D86" s="17">
        <v>106</v>
      </c>
      <c r="E86" s="61"/>
      <c r="F86" s="17">
        <v>880</v>
      </c>
      <c r="G86" s="17">
        <v>920</v>
      </c>
      <c r="H86" s="17">
        <v>1280</v>
      </c>
      <c r="I86" s="18">
        <f t="shared" si="4"/>
        <v>1.0362880000000001</v>
      </c>
      <c r="J86" s="63"/>
      <c r="K86" s="64"/>
    </row>
    <row r="87" spans="1:11" s="2" customFormat="1" ht="14.1">
      <c r="A87" s="81"/>
      <c r="B87" s="17" t="s">
        <v>39</v>
      </c>
      <c r="C87" s="61"/>
      <c r="D87" s="17">
        <v>650</v>
      </c>
      <c r="E87" s="61"/>
      <c r="F87" s="17">
        <v>900</v>
      </c>
      <c r="G87" s="17">
        <v>1500</v>
      </c>
      <c r="H87" s="17">
        <v>2510</v>
      </c>
      <c r="I87" s="18">
        <f t="shared" si="4"/>
        <v>3.3885000000000001</v>
      </c>
      <c r="J87" s="63"/>
      <c r="K87" s="64"/>
    </row>
    <row r="88" spans="1:11" s="2" customFormat="1" ht="14.1">
      <c r="A88" s="81"/>
      <c r="B88" s="17" t="s">
        <v>105</v>
      </c>
      <c r="C88" s="61"/>
      <c r="D88" s="17">
        <v>1500</v>
      </c>
      <c r="E88" s="61"/>
      <c r="F88" s="17">
        <v>2400</v>
      </c>
      <c r="G88" s="17">
        <v>900</v>
      </c>
      <c r="H88" s="17">
        <v>1120</v>
      </c>
      <c r="I88" s="18">
        <f t="shared" si="4"/>
        <v>2.4192</v>
      </c>
      <c r="J88" s="63"/>
      <c r="K88" s="64"/>
    </row>
    <row r="89" spans="1:11" ht="22.8">
      <c r="A89" s="81"/>
      <c r="B89" s="17" t="s">
        <v>52</v>
      </c>
      <c r="C89" s="61"/>
      <c r="D89" s="71">
        <v>6549</v>
      </c>
      <c r="E89" s="61"/>
      <c r="F89" s="17">
        <v>3150</v>
      </c>
      <c r="G89" s="17">
        <v>1270</v>
      </c>
      <c r="H89" s="17">
        <v>1642</v>
      </c>
      <c r="I89" s="18">
        <f t="shared" si="4"/>
        <v>6.5688209999999998</v>
      </c>
      <c r="J89" s="63"/>
      <c r="K89" s="64"/>
    </row>
    <row r="90" spans="1:11" ht="22.8">
      <c r="A90" s="81"/>
      <c r="B90" s="17" t="s">
        <v>52</v>
      </c>
      <c r="C90" s="61"/>
      <c r="D90" s="72"/>
      <c r="E90" s="61"/>
      <c r="F90" s="17">
        <v>3150</v>
      </c>
      <c r="G90" s="17">
        <v>1270</v>
      </c>
      <c r="H90" s="17">
        <v>1642</v>
      </c>
      <c r="I90" s="18">
        <f t="shared" si="4"/>
        <v>6.5688209999999998</v>
      </c>
      <c r="J90" s="63"/>
      <c r="K90" s="64"/>
    </row>
    <row r="91" spans="1:11" ht="22.8">
      <c r="A91" s="81"/>
      <c r="B91" s="17" t="s">
        <v>52</v>
      </c>
      <c r="C91" s="61"/>
      <c r="D91" s="73"/>
      <c r="E91" s="61"/>
      <c r="F91" s="17">
        <v>3150</v>
      </c>
      <c r="G91" s="17">
        <v>1270</v>
      </c>
      <c r="H91" s="17">
        <v>1642</v>
      </c>
      <c r="I91" s="18">
        <f t="shared" si="4"/>
        <v>6.5688209999999998</v>
      </c>
      <c r="J91" s="63"/>
      <c r="K91" s="64"/>
    </row>
    <row r="92" spans="1:11">
      <c r="A92" s="81"/>
      <c r="B92" s="17" t="s">
        <v>18</v>
      </c>
      <c r="C92" s="61"/>
      <c r="D92" s="17">
        <v>1000</v>
      </c>
      <c r="E92" s="61"/>
      <c r="F92" s="17">
        <v>1900</v>
      </c>
      <c r="G92" s="17">
        <v>1000</v>
      </c>
      <c r="H92" s="17">
        <v>2400</v>
      </c>
      <c r="I92" s="18">
        <f t="shared" si="4"/>
        <v>4.5599999999999996</v>
      </c>
      <c r="J92" s="63"/>
      <c r="K92" s="64"/>
    </row>
    <row r="93" spans="1:11">
      <c r="A93" s="81"/>
      <c r="B93" s="17" t="s">
        <v>18</v>
      </c>
      <c r="C93" s="61"/>
      <c r="D93" s="17">
        <v>1500</v>
      </c>
      <c r="E93" s="61"/>
      <c r="F93" s="17">
        <v>2300</v>
      </c>
      <c r="G93" s="17">
        <v>800</v>
      </c>
      <c r="H93" s="17">
        <v>1600</v>
      </c>
      <c r="I93" s="18">
        <f t="shared" si="4"/>
        <v>2.944</v>
      </c>
      <c r="J93" s="63"/>
      <c r="K93" s="64"/>
    </row>
    <row r="94" spans="1:11">
      <c r="A94" s="81"/>
      <c r="B94" s="17" t="s">
        <v>44</v>
      </c>
      <c r="C94" s="61"/>
      <c r="D94" s="17">
        <v>750</v>
      </c>
      <c r="E94" s="61"/>
      <c r="F94" s="17">
        <v>1050</v>
      </c>
      <c r="G94" s="17">
        <v>1100</v>
      </c>
      <c r="H94" s="17">
        <v>2000</v>
      </c>
      <c r="I94" s="18">
        <f t="shared" si="4"/>
        <v>2.31</v>
      </c>
      <c r="J94" s="63"/>
      <c r="K94" s="64"/>
    </row>
    <row r="95" spans="1:11">
      <c r="A95" s="81"/>
      <c r="B95" s="17" t="s">
        <v>44</v>
      </c>
      <c r="C95" s="61"/>
      <c r="D95" s="17">
        <v>750</v>
      </c>
      <c r="E95" s="61"/>
      <c r="F95" s="17">
        <v>1050</v>
      </c>
      <c r="G95" s="17">
        <v>1100</v>
      </c>
      <c r="H95" s="17">
        <v>2000</v>
      </c>
      <c r="I95" s="18">
        <f t="shared" si="4"/>
        <v>2.31</v>
      </c>
      <c r="J95" s="63"/>
      <c r="K95" s="64"/>
    </row>
    <row r="96" spans="1:11">
      <c r="A96" s="81"/>
      <c r="B96" s="17" t="s">
        <v>44</v>
      </c>
      <c r="C96" s="61"/>
      <c r="D96" s="17">
        <v>750</v>
      </c>
      <c r="E96" s="61"/>
      <c r="F96" s="17">
        <v>1050</v>
      </c>
      <c r="G96" s="17">
        <v>1100</v>
      </c>
      <c r="H96" s="17">
        <v>2000</v>
      </c>
      <c r="I96" s="18">
        <f t="shared" si="4"/>
        <v>2.31</v>
      </c>
      <c r="J96" s="63"/>
      <c r="K96" s="64"/>
    </row>
    <row r="97" spans="1:11">
      <c r="A97" s="81"/>
      <c r="B97" s="17" t="s">
        <v>40</v>
      </c>
      <c r="C97" s="61"/>
      <c r="D97" s="17">
        <v>490</v>
      </c>
      <c r="E97" s="61"/>
      <c r="F97" s="17">
        <v>2480</v>
      </c>
      <c r="G97" s="17">
        <v>1090</v>
      </c>
      <c r="H97" s="17">
        <v>890</v>
      </c>
      <c r="I97" s="18">
        <f t="shared" si="4"/>
        <v>2.4058480000000002</v>
      </c>
      <c r="J97" s="63"/>
      <c r="K97" s="64"/>
    </row>
    <row r="98" spans="1:11">
      <c r="A98" s="81"/>
      <c r="B98" s="17" t="s">
        <v>22</v>
      </c>
      <c r="C98" s="61"/>
      <c r="D98" s="17">
        <v>122</v>
      </c>
      <c r="E98" s="61"/>
      <c r="F98" s="17">
        <v>520</v>
      </c>
      <c r="G98" s="17">
        <v>460</v>
      </c>
      <c r="H98" s="17">
        <v>650</v>
      </c>
      <c r="I98" s="18">
        <f t="shared" si="4"/>
        <v>0.15548000000000001</v>
      </c>
      <c r="J98" s="63"/>
      <c r="K98" s="64"/>
    </row>
    <row r="99" spans="1:11">
      <c r="A99" s="81"/>
      <c r="B99" s="17" t="s">
        <v>22</v>
      </c>
      <c r="C99" s="61"/>
      <c r="D99" s="17">
        <v>109</v>
      </c>
      <c r="E99" s="61"/>
      <c r="F99" s="17">
        <v>700</v>
      </c>
      <c r="G99" s="17">
        <v>550</v>
      </c>
      <c r="H99" s="17">
        <v>1750</v>
      </c>
      <c r="I99" s="18">
        <f t="shared" si="4"/>
        <v>0.67374999999999996</v>
      </c>
      <c r="J99" s="63"/>
      <c r="K99" s="64"/>
    </row>
    <row r="100" spans="1:11">
      <c r="A100" s="65" t="s">
        <v>83</v>
      </c>
      <c r="B100" s="17" t="s">
        <v>16</v>
      </c>
      <c r="C100" s="68">
        <v>1</v>
      </c>
      <c r="D100" s="17">
        <v>4300</v>
      </c>
      <c r="E100" s="71">
        <v>18000</v>
      </c>
      <c r="F100" s="17">
        <v>4000</v>
      </c>
      <c r="G100" s="17">
        <v>2320</v>
      </c>
      <c r="H100" s="17">
        <v>1800</v>
      </c>
      <c r="I100" s="18">
        <f t="shared" si="4"/>
        <v>16.704000000000001</v>
      </c>
      <c r="J100" s="74">
        <v>86.33</v>
      </c>
      <c r="K100" s="84" t="s">
        <v>42</v>
      </c>
    </row>
    <row r="101" spans="1:11" ht="22.8">
      <c r="A101" s="66"/>
      <c r="B101" s="17" t="s">
        <v>34</v>
      </c>
      <c r="C101" s="69"/>
      <c r="D101" s="17">
        <v>749</v>
      </c>
      <c r="E101" s="72"/>
      <c r="F101" s="17">
        <v>1620</v>
      </c>
      <c r="G101" s="17">
        <v>900</v>
      </c>
      <c r="H101" s="17">
        <v>2440</v>
      </c>
      <c r="I101" s="18">
        <f t="shared" si="4"/>
        <v>3.5575199999999998</v>
      </c>
      <c r="J101" s="75"/>
      <c r="K101" s="85"/>
    </row>
    <row r="102" spans="1:11" ht="22.8">
      <c r="A102" s="66"/>
      <c r="B102" s="17" t="s">
        <v>34</v>
      </c>
      <c r="C102" s="69"/>
      <c r="D102" s="17">
        <v>604</v>
      </c>
      <c r="E102" s="72"/>
      <c r="F102" s="17">
        <v>1620</v>
      </c>
      <c r="G102" s="17">
        <v>900</v>
      </c>
      <c r="H102" s="17">
        <v>2440</v>
      </c>
      <c r="I102" s="18">
        <f t="shared" si="4"/>
        <v>3.5575199999999998</v>
      </c>
      <c r="J102" s="75"/>
      <c r="K102" s="85"/>
    </row>
    <row r="103" spans="1:11" ht="22.8">
      <c r="A103" s="66"/>
      <c r="B103" s="17" t="s">
        <v>34</v>
      </c>
      <c r="C103" s="69"/>
      <c r="D103" s="17">
        <v>102</v>
      </c>
      <c r="E103" s="72"/>
      <c r="F103" s="17">
        <v>670</v>
      </c>
      <c r="G103" s="17">
        <v>1010</v>
      </c>
      <c r="H103" s="17">
        <v>1130</v>
      </c>
      <c r="I103" s="18">
        <f t="shared" si="4"/>
        <v>0.76467099999999999</v>
      </c>
      <c r="J103" s="75"/>
      <c r="K103" s="85"/>
    </row>
    <row r="104" spans="1:11">
      <c r="A104" s="66"/>
      <c r="B104" s="17" t="s">
        <v>38</v>
      </c>
      <c r="C104" s="69"/>
      <c r="D104" s="17">
        <v>200</v>
      </c>
      <c r="E104" s="72"/>
      <c r="F104" s="17">
        <v>1300</v>
      </c>
      <c r="G104" s="17">
        <v>740</v>
      </c>
      <c r="H104" s="17">
        <v>1745</v>
      </c>
      <c r="I104" s="18">
        <f t="shared" si="4"/>
        <v>1.67869</v>
      </c>
      <c r="J104" s="75"/>
      <c r="K104" s="85"/>
    </row>
    <row r="105" spans="1:11">
      <c r="A105" s="66"/>
      <c r="B105" s="17" t="s">
        <v>38</v>
      </c>
      <c r="C105" s="69"/>
      <c r="D105" s="17">
        <v>2500</v>
      </c>
      <c r="E105" s="72"/>
      <c r="F105" s="17">
        <v>3150</v>
      </c>
      <c r="G105" s="17">
        <v>1270</v>
      </c>
      <c r="H105" s="17">
        <v>1642</v>
      </c>
      <c r="I105" s="18">
        <f t="shared" si="4"/>
        <v>6.5688209999999998</v>
      </c>
      <c r="J105" s="75"/>
      <c r="K105" s="85"/>
    </row>
    <row r="106" spans="1:11">
      <c r="A106" s="66"/>
      <c r="B106" s="17" t="s">
        <v>38</v>
      </c>
      <c r="C106" s="69"/>
      <c r="D106" s="17">
        <v>2500</v>
      </c>
      <c r="E106" s="72"/>
      <c r="F106" s="17">
        <v>3150</v>
      </c>
      <c r="G106" s="17">
        <v>1270</v>
      </c>
      <c r="H106" s="17">
        <v>1642</v>
      </c>
      <c r="I106" s="18">
        <f t="shared" si="4"/>
        <v>6.5688209999999998</v>
      </c>
      <c r="J106" s="75"/>
      <c r="K106" s="85"/>
    </row>
    <row r="107" spans="1:11">
      <c r="A107" s="66"/>
      <c r="B107" s="17" t="s">
        <v>44</v>
      </c>
      <c r="C107" s="69"/>
      <c r="D107" s="17">
        <v>1390</v>
      </c>
      <c r="E107" s="72"/>
      <c r="F107" s="17">
        <v>1020</v>
      </c>
      <c r="G107" s="17">
        <v>1020</v>
      </c>
      <c r="H107" s="17">
        <v>1700</v>
      </c>
      <c r="I107" s="18">
        <f t="shared" si="4"/>
        <v>1.76868</v>
      </c>
      <c r="J107" s="75"/>
      <c r="K107" s="85"/>
    </row>
    <row r="108" spans="1:11">
      <c r="A108" s="66"/>
      <c r="B108" s="17" t="s">
        <v>40</v>
      </c>
      <c r="C108" s="69"/>
      <c r="D108" s="17">
        <v>720</v>
      </c>
      <c r="E108" s="72"/>
      <c r="F108" s="17">
        <v>1220</v>
      </c>
      <c r="G108" s="17">
        <v>650</v>
      </c>
      <c r="H108" s="17">
        <v>1020</v>
      </c>
      <c r="I108" s="18">
        <f t="shared" si="4"/>
        <v>0.80886000000000002</v>
      </c>
      <c r="J108" s="75"/>
      <c r="K108" s="85"/>
    </row>
    <row r="109" spans="1:11">
      <c r="A109" s="67"/>
      <c r="B109" s="17" t="s">
        <v>104</v>
      </c>
      <c r="C109" s="70"/>
      <c r="D109" s="17">
        <v>750</v>
      </c>
      <c r="E109" s="73"/>
      <c r="F109" s="17">
        <v>2300</v>
      </c>
      <c r="G109" s="17">
        <v>1600</v>
      </c>
      <c r="H109" s="17">
        <v>1100</v>
      </c>
      <c r="I109" s="18">
        <f t="shared" si="4"/>
        <v>4.048</v>
      </c>
      <c r="J109" s="76"/>
      <c r="K109" s="86"/>
    </row>
    <row r="110" spans="1:11">
      <c r="A110" s="62" t="s">
        <v>84</v>
      </c>
      <c r="B110" s="17" t="s">
        <v>16</v>
      </c>
      <c r="C110" s="83">
        <v>1</v>
      </c>
      <c r="D110" s="17">
        <v>4300</v>
      </c>
      <c r="E110" s="61">
        <v>16500</v>
      </c>
      <c r="F110" s="17">
        <v>4000</v>
      </c>
      <c r="G110" s="17">
        <v>2320</v>
      </c>
      <c r="H110" s="17">
        <v>1800</v>
      </c>
      <c r="I110" s="18">
        <f t="shared" si="4"/>
        <v>16.704000000000001</v>
      </c>
      <c r="J110" s="63">
        <v>86.33</v>
      </c>
      <c r="K110" s="64" t="s">
        <v>42</v>
      </c>
    </row>
    <row r="111" spans="1:11">
      <c r="A111" s="62"/>
      <c r="B111" s="17" t="s">
        <v>18</v>
      </c>
      <c r="C111" s="83"/>
      <c r="D111" s="17">
        <v>585</v>
      </c>
      <c r="E111" s="61"/>
      <c r="F111" s="17">
        <v>1640</v>
      </c>
      <c r="G111" s="17">
        <v>840</v>
      </c>
      <c r="H111" s="17">
        <v>870</v>
      </c>
      <c r="I111" s="18">
        <f t="shared" si="4"/>
        <v>1.198512</v>
      </c>
      <c r="J111" s="63"/>
      <c r="K111" s="64"/>
    </row>
    <row r="112" spans="1:11" ht="22.8">
      <c r="A112" s="62"/>
      <c r="B112" s="17" t="s">
        <v>43</v>
      </c>
      <c r="C112" s="83"/>
      <c r="D112" s="17">
        <v>750</v>
      </c>
      <c r="E112" s="61"/>
      <c r="F112" s="17">
        <v>1700</v>
      </c>
      <c r="G112" s="17">
        <v>1200</v>
      </c>
      <c r="H112" s="17">
        <v>1400</v>
      </c>
      <c r="I112" s="18">
        <f t="shared" si="4"/>
        <v>2.8559999999999999</v>
      </c>
      <c r="J112" s="63"/>
      <c r="K112" s="64"/>
    </row>
    <row r="113" spans="1:11">
      <c r="A113" s="62"/>
      <c r="B113" s="17" t="s">
        <v>38</v>
      </c>
      <c r="C113" s="83"/>
      <c r="D113" s="17">
        <v>2500</v>
      </c>
      <c r="E113" s="61"/>
      <c r="F113" s="17">
        <v>3150</v>
      </c>
      <c r="G113" s="17">
        <v>1270</v>
      </c>
      <c r="H113" s="17">
        <v>1642</v>
      </c>
      <c r="I113" s="18">
        <f t="shared" si="4"/>
        <v>6.5688209999999998</v>
      </c>
      <c r="J113" s="63"/>
      <c r="K113" s="64"/>
    </row>
    <row r="114" spans="1:11">
      <c r="A114" s="62"/>
      <c r="B114" s="17" t="s">
        <v>38</v>
      </c>
      <c r="C114" s="83"/>
      <c r="D114" s="17">
        <v>2500</v>
      </c>
      <c r="E114" s="61"/>
      <c r="F114" s="17">
        <v>3150</v>
      </c>
      <c r="G114" s="17">
        <v>1270</v>
      </c>
      <c r="H114" s="17">
        <v>1642</v>
      </c>
      <c r="I114" s="18">
        <f t="shared" si="4"/>
        <v>6.5688209999999998</v>
      </c>
      <c r="J114" s="63"/>
      <c r="K114" s="64"/>
    </row>
    <row r="115" spans="1:11">
      <c r="A115" s="62"/>
      <c r="B115" s="17" t="s">
        <v>40</v>
      </c>
      <c r="C115" s="83"/>
      <c r="D115" s="17">
        <v>720</v>
      </c>
      <c r="E115" s="61"/>
      <c r="F115" s="17">
        <v>1220</v>
      </c>
      <c r="G115" s="17">
        <v>650</v>
      </c>
      <c r="H115" s="17">
        <v>1020</v>
      </c>
      <c r="I115" s="18">
        <f t="shared" si="4"/>
        <v>0.80886000000000002</v>
      </c>
      <c r="J115" s="63"/>
      <c r="K115" s="64"/>
    </row>
    <row r="116" spans="1:11">
      <c r="A116" s="62"/>
      <c r="B116" s="17" t="s">
        <v>29</v>
      </c>
      <c r="C116" s="83"/>
      <c r="D116" s="17">
        <v>200</v>
      </c>
      <c r="E116" s="61"/>
      <c r="F116" s="17">
        <v>850</v>
      </c>
      <c r="G116" s="17">
        <v>670</v>
      </c>
      <c r="H116" s="17">
        <v>2400</v>
      </c>
      <c r="I116" s="18">
        <f t="shared" si="4"/>
        <v>1.3668</v>
      </c>
      <c r="J116" s="63"/>
      <c r="K116" s="64"/>
    </row>
    <row r="117" spans="1:11">
      <c r="A117" s="62"/>
      <c r="B117" s="17" t="s">
        <v>29</v>
      </c>
      <c r="C117" s="83"/>
      <c r="D117" s="17">
        <v>200</v>
      </c>
      <c r="E117" s="61"/>
      <c r="F117" s="17">
        <v>850</v>
      </c>
      <c r="G117" s="17">
        <v>670</v>
      </c>
      <c r="H117" s="17">
        <v>2400</v>
      </c>
      <c r="I117" s="18">
        <f t="shared" si="4"/>
        <v>1.3668</v>
      </c>
      <c r="J117" s="63"/>
      <c r="K117" s="64"/>
    </row>
    <row r="118" spans="1:11">
      <c r="A118" s="62"/>
      <c r="B118" s="17" t="s">
        <v>57</v>
      </c>
      <c r="C118" s="83"/>
      <c r="D118" s="17">
        <v>40</v>
      </c>
      <c r="E118" s="61"/>
      <c r="F118" s="17">
        <v>900</v>
      </c>
      <c r="G118" s="17">
        <v>850</v>
      </c>
      <c r="H118" s="17">
        <v>600</v>
      </c>
      <c r="I118" s="18">
        <f t="shared" si="4"/>
        <v>0.45900000000000002</v>
      </c>
      <c r="J118" s="63"/>
      <c r="K118" s="64"/>
    </row>
    <row r="119" spans="1:11">
      <c r="A119" s="62"/>
      <c r="B119" s="17" t="s">
        <v>25</v>
      </c>
      <c r="C119" s="83"/>
      <c r="D119" s="17">
        <v>312</v>
      </c>
      <c r="E119" s="61"/>
      <c r="F119" s="17">
        <v>1270</v>
      </c>
      <c r="G119" s="17">
        <v>950</v>
      </c>
      <c r="H119" s="17">
        <v>2000</v>
      </c>
      <c r="I119" s="18">
        <f t="shared" si="4"/>
        <v>2.4129999999999998</v>
      </c>
      <c r="J119" s="63"/>
      <c r="K119" s="64"/>
    </row>
    <row r="120" spans="1:11" ht="22.8">
      <c r="A120" s="62" t="s">
        <v>85</v>
      </c>
      <c r="B120" s="17" t="s">
        <v>34</v>
      </c>
      <c r="C120" s="83">
        <v>1</v>
      </c>
      <c r="D120" s="17">
        <v>344</v>
      </c>
      <c r="E120" s="61">
        <v>16000</v>
      </c>
      <c r="F120" s="17">
        <v>930</v>
      </c>
      <c r="G120" s="17">
        <v>860</v>
      </c>
      <c r="H120" s="17">
        <v>2350</v>
      </c>
      <c r="I120" s="18">
        <f t="shared" si="4"/>
        <v>1.8795299999999999</v>
      </c>
      <c r="J120" s="63">
        <v>86.33</v>
      </c>
      <c r="K120" s="64" t="s">
        <v>42</v>
      </c>
    </row>
    <row r="121" spans="1:11" ht="22.8">
      <c r="A121" s="62"/>
      <c r="B121" s="17" t="s">
        <v>34</v>
      </c>
      <c r="C121" s="83"/>
      <c r="D121" s="17">
        <v>222</v>
      </c>
      <c r="E121" s="61"/>
      <c r="F121" s="17">
        <v>930</v>
      </c>
      <c r="G121" s="17">
        <v>860</v>
      </c>
      <c r="H121" s="17">
        <v>2350</v>
      </c>
      <c r="I121" s="18">
        <f t="shared" si="4"/>
        <v>1.8795299999999999</v>
      </c>
      <c r="J121" s="63"/>
      <c r="K121" s="64"/>
    </row>
    <row r="122" spans="1:11" ht="22.8">
      <c r="A122" s="62"/>
      <c r="B122" s="17" t="s">
        <v>34</v>
      </c>
      <c r="C122" s="83"/>
      <c r="D122" s="17">
        <v>220</v>
      </c>
      <c r="E122" s="61"/>
      <c r="F122" s="17">
        <v>930</v>
      </c>
      <c r="G122" s="17">
        <v>860</v>
      </c>
      <c r="H122" s="17">
        <v>2350</v>
      </c>
      <c r="I122" s="18">
        <f t="shared" ref="I122:I185" si="5">F122*G122*H122/1000000000</f>
        <v>1.8795299999999999</v>
      </c>
      <c r="J122" s="63"/>
      <c r="K122" s="64"/>
    </row>
    <row r="123" spans="1:11" ht="22.8">
      <c r="A123" s="62"/>
      <c r="B123" s="17" t="s">
        <v>34</v>
      </c>
      <c r="C123" s="83"/>
      <c r="D123" s="17">
        <v>228</v>
      </c>
      <c r="E123" s="61"/>
      <c r="F123" s="17">
        <v>930</v>
      </c>
      <c r="G123" s="17">
        <v>860</v>
      </c>
      <c r="H123" s="17">
        <v>2350</v>
      </c>
      <c r="I123" s="18">
        <f t="shared" si="5"/>
        <v>1.8795299999999999</v>
      </c>
      <c r="J123" s="63"/>
      <c r="K123" s="64"/>
    </row>
    <row r="124" spans="1:11" ht="22.8">
      <c r="A124" s="62"/>
      <c r="B124" s="17" t="s">
        <v>34</v>
      </c>
      <c r="C124" s="83"/>
      <c r="D124" s="17">
        <v>252</v>
      </c>
      <c r="E124" s="61"/>
      <c r="F124" s="17">
        <v>930</v>
      </c>
      <c r="G124" s="17">
        <v>860</v>
      </c>
      <c r="H124" s="17">
        <v>2350</v>
      </c>
      <c r="I124" s="18">
        <f t="shared" si="5"/>
        <v>1.8795299999999999</v>
      </c>
      <c r="J124" s="63"/>
      <c r="K124" s="64"/>
    </row>
    <row r="125" spans="1:11" ht="22.8">
      <c r="A125" s="62"/>
      <c r="B125" s="17" t="s">
        <v>34</v>
      </c>
      <c r="C125" s="83"/>
      <c r="D125" s="17">
        <v>238</v>
      </c>
      <c r="E125" s="61"/>
      <c r="F125" s="17">
        <v>690</v>
      </c>
      <c r="G125" s="17">
        <v>880</v>
      </c>
      <c r="H125" s="17">
        <v>2400</v>
      </c>
      <c r="I125" s="18">
        <f t="shared" si="5"/>
        <v>1.4572799999999999</v>
      </c>
      <c r="J125" s="63"/>
      <c r="K125" s="64"/>
    </row>
    <row r="126" spans="1:11" ht="22.8">
      <c r="A126" s="62"/>
      <c r="B126" s="17" t="s">
        <v>34</v>
      </c>
      <c r="C126" s="83"/>
      <c r="D126" s="17">
        <v>786</v>
      </c>
      <c r="E126" s="61"/>
      <c r="F126" s="17">
        <v>1110</v>
      </c>
      <c r="G126" s="17">
        <v>1130</v>
      </c>
      <c r="H126" s="17">
        <v>740</v>
      </c>
      <c r="I126" s="18">
        <f t="shared" si="5"/>
        <v>0.92818199999999995</v>
      </c>
      <c r="J126" s="63"/>
      <c r="K126" s="64"/>
    </row>
    <row r="127" spans="1:11" ht="22.8">
      <c r="A127" s="62"/>
      <c r="B127" s="17" t="s">
        <v>34</v>
      </c>
      <c r="C127" s="83"/>
      <c r="D127" s="17">
        <v>88</v>
      </c>
      <c r="E127" s="61"/>
      <c r="F127" s="17">
        <v>560</v>
      </c>
      <c r="G127" s="17">
        <v>1240</v>
      </c>
      <c r="H127" s="17">
        <v>1150</v>
      </c>
      <c r="I127" s="18">
        <f t="shared" si="5"/>
        <v>0.79856000000000005</v>
      </c>
      <c r="J127" s="63"/>
      <c r="K127" s="64"/>
    </row>
    <row r="128" spans="1:11">
      <c r="A128" s="62"/>
      <c r="B128" s="17" t="s">
        <v>18</v>
      </c>
      <c r="C128" s="83"/>
      <c r="D128" s="17">
        <v>281</v>
      </c>
      <c r="E128" s="61"/>
      <c r="F128" s="17">
        <v>800</v>
      </c>
      <c r="G128" s="17">
        <v>850</v>
      </c>
      <c r="H128" s="17">
        <v>870</v>
      </c>
      <c r="I128" s="18">
        <f t="shared" si="5"/>
        <v>0.59160000000000001</v>
      </c>
      <c r="J128" s="63"/>
      <c r="K128" s="64"/>
    </row>
    <row r="129" spans="1:11">
      <c r="A129" s="62"/>
      <c r="B129" s="17" t="s">
        <v>18</v>
      </c>
      <c r="C129" s="83"/>
      <c r="D129" s="17">
        <v>463</v>
      </c>
      <c r="E129" s="61"/>
      <c r="F129" s="17">
        <v>1060</v>
      </c>
      <c r="G129" s="17">
        <v>810</v>
      </c>
      <c r="H129" s="17">
        <v>710</v>
      </c>
      <c r="I129" s="18">
        <f t="shared" si="5"/>
        <v>0.60960599999999998</v>
      </c>
      <c r="J129" s="63"/>
      <c r="K129" s="64"/>
    </row>
    <row r="130" spans="1:11" ht="22.8">
      <c r="A130" s="62"/>
      <c r="B130" s="17" t="s">
        <v>43</v>
      </c>
      <c r="C130" s="83"/>
      <c r="D130" s="17">
        <v>750</v>
      </c>
      <c r="E130" s="61"/>
      <c r="F130" s="17">
        <v>1700</v>
      </c>
      <c r="G130" s="17">
        <v>1200</v>
      </c>
      <c r="H130" s="17">
        <v>1400</v>
      </c>
      <c r="I130" s="18">
        <f t="shared" si="5"/>
        <v>2.8559999999999999</v>
      </c>
      <c r="J130" s="63"/>
      <c r="K130" s="64"/>
    </row>
    <row r="131" spans="1:11">
      <c r="A131" s="62"/>
      <c r="B131" s="17" t="s">
        <v>38</v>
      </c>
      <c r="C131" s="83"/>
      <c r="D131" s="17">
        <v>2500</v>
      </c>
      <c r="E131" s="61"/>
      <c r="F131" s="17">
        <v>3150</v>
      </c>
      <c r="G131" s="17">
        <v>1270</v>
      </c>
      <c r="H131" s="17">
        <v>1642</v>
      </c>
      <c r="I131" s="18">
        <f t="shared" si="5"/>
        <v>6.5688209999999998</v>
      </c>
      <c r="J131" s="63"/>
      <c r="K131" s="64"/>
    </row>
    <row r="132" spans="1:11">
      <c r="A132" s="62"/>
      <c r="B132" s="17" t="s">
        <v>38</v>
      </c>
      <c r="C132" s="83"/>
      <c r="D132" s="17">
        <v>2500</v>
      </c>
      <c r="E132" s="61"/>
      <c r="F132" s="17">
        <v>3150</v>
      </c>
      <c r="G132" s="17">
        <v>1270</v>
      </c>
      <c r="H132" s="17">
        <v>1642</v>
      </c>
      <c r="I132" s="18">
        <f t="shared" si="5"/>
        <v>6.5688209999999998</v>
      </c>
      <c r="J132" s="63"/>
      <c r="K132" s="64"/>
    </row>
    <row r="133" spans="1:11">
      <c r="A133" s="62"/>
      <c r="B133" s="17" t="s">
        <v>38</v>
      </c>
      <c r="C133" s="83"/>
      <c r="D133" s="17">
        <v>2500</v>
      </c>
      <c r="E133" s="61"/>
      <c r="F133" s="17">
        <v>3150</v>
      </c>
      <c r="G133" s="17">
        <v>1270</v>
      </c>
      <c r="H133" s="17">
        <v>1642</v>
      </c>
      <c r="I133" s="18">
        <f t="shared" ref="I133:I142" si="6">F133*G133*H133/1000000000</f>
        <v>6.5688209999999998</v>
      </c>
      <c r="J133" s="63"/>
      <c r="K133" s="64"/>
    </row>
    <row r="134" spans="1:11" ht="22.8">
      <c r="A134" s="62"/>
      <c r="B134" s="17" t="s">
        <v>34</v>
      </c>
      <c r="C134" s="83"/>
      <c r="D134" s="17">
        <v>174</v>
      </c>
      <c r="E134" s="61"/>
      <c r="F134" s="17">
        <v>690</v>
      </c>
      <c r="G134" s="17">
        <v>880</v>
      </c>
      <c r="H134" s="17">
        <v>2400</v>
      </c>
      <c r="I134" s="18">
        <f t="shared" si="6"/>
        <v>1.4572799999999999</v>
      </c>
      <c r="J134" s="63"/>
      <c r="K134" s="64"/>
    </row>
    <row r="135" spans="1:11" ht="22.8">
      <c r="A135" s="62"/>
      <c r="B135" s="17" t="s">
        <v>34</v>
      </c>
      <c r="C135" s="83"/>
      <c r="D135" s="17">
        <v>915</v>
      </c>
      <c r="E135" s="61"/>
      <c r="F135" s="17">
        <v>1140</v>
      </c>
      <c r="G135" s="17">
        <v>1230</v>
      </c>
      <c r="H135" s="17">
        <v>2370</v>
      </c>
      <c r="I135" s="18">
        <f t="shared" si="6"/>
        <v>3.3232140000000001</v>
      </c>
      <c r="J135" s="63"/>
      <c r="K135" s="64"/>
    </row>
    <row r="136" spans="1:11" ht="22.8">
      <c r="A136" s="62"/>
      <c r="B136" s="17" t="s">
        <v>34</v>
      </c>
      <c r="C136" s="83"/>
      <c r="D136" s="17">
        <v>214</v>
      </c>
      <c r="E136" s="61"/>
      <c r="F136" s="17">
        <v>930</v>
      </c>
      <c r="G136" s="17">
        <v>860</v>
      </c>
      <c r="H136" s="17">
        <v>2350</v>
      </c>
      <c r="I136" s="18">
        <f t="shared" si="6"/>
        <v>1.8795299999999999</v>
      </c>
      <c r="J136" s="63"/>
      <c r="K136" s="64"/>
    </row>
    <row r="137" spans="1:11" ht="22.8">
      <c r="A137" s="62"/>
      <c r="B137" s="17" t="s">
        <v>34</v>
      </c>
      <c r="C137" s="83"/>
      <c r="D137" s="17">
        <v>172</v>
      </c>
      <c r="E137" s="61"/>
      <c r="F137" s="17">
        <v>680</v>
      </c>
      <c r="G137" s="17">
        <v>860</v>
      </c>
      <c r="H137" s="17">
        <v>2400</v>
      </c>
      <c r="I137" s="18">
        <f t="shared" si="6"/>
        <v>1.4035200000000001</v>
      </c>
      <c r="J137" s="63"/>
      <c r="K137" s="64"/>
    </row>
    <row r="138" spans="1:11" ht="22.8">
      <c r="A138" s="62"/>
      <c r="B138" s="17" t="s">
        <v>34</v>
      </c>
      <c r="C138" s="83"/>
      <c r="D138" s="17">
        <v>244</v>
      </c>
      <c r="E138" s="61"/>
      <c r="F138" s="17">
        <v>810</v>
      </c>
      <c r="G138" s="17">
        <v>1250</v>
      </c>
      <c r="H138" s="17">
        <v>250</v>
      </c>
      <c r="I138" s="18">
        <f t="shared" si="6"/>
        <v>0.25312499999999999</v>
      </c>
      <c r="J138" s="63"/>
      <c r="K138" s="64"/>
    </row>
    <row r="139" spans="1:11" ht="22.8">
      <c r="A139" s="62"/>
      <c r="B139" s="17" t="s">
        <v>34</v>
      </c>
      <c r="C139" s="83"/>
      <c r="D139" s="17">
        <v>276</v>
      </c>
      <c r="E139" s="61"/>
      <c r="F139" s="17">
        <v>430</v>
      </c>
      <c r="G139" s="17">
        <v>1385</v>
      </c>
      <c r="H139" s="17">
        <v>250</v>
      </c>
      <c r="I139" s="18">
        <f t="shared" si="6"/>
        <v>0.14888750000000001</v>
      </c>
      <c r="J139" s="63"/>
      <c r="K139" s="64"/>
    </row>
    <row r="140" spans="1:11">
      <c r="A140" s="62"/>
      <c r="B140" s="17" t="s">
        <v>17</v>
      </c>
      <c r="C140" s="83"/>
      <c r="D140" s="17">
        <v>45</v>
      </c>
      <c r="E140" s="61"/>
      <c r="F140" s="17">
        <v>510</v>
      </c>
      <c r="G140" s="17">
        <v>510</v>
      </c>
      <c r="H140" s="17">
        <v>390</v>
      </c>
      <c r="I140" s="18">
        <f t="shared" si="6"/>
        <v>0.101439</v>
      </c>
      <c r="J140" s="63"/>
      <c r="K140" s="64"/>
    </row>
    <row r="141" spans="1:11">
      <c r="A141" s="62"/>
      <c r="B141" s="17" t="s">
        <v>22</v>
      </c>
      <c r="C141" s="83"/>
      <c r="D141" s="17">
        <v>42</v>
      </c>
      <c r="E141" s="61"/>
      <c r="F141" s="17">
        <v>500</v>
      </c>
      <c r="G141" s="17">
        <v>370</v>
      </c>
      <c r="H141" s="17">
        <v>380</v>
      </c>
      <c r="I141" s="18">
        <f t="shared" si="6"/>
        <v>7.0300000000000001E-2</v>
      </c>
      <c r="J141" s="63"/>
      <c r="K141" s="64"/>
    </row>
    <row r="142" spans="1:11">
      <c r="A142" s="62"/>
      <c r="B142" s="17" t="s">
        <v>16</v>
      </c>
      <c r="C142" s="83"/>
      <c r="D142" s="17">
        <v>100</v>
      </c>
      <c r="E142" s="61"/>
      <c r="F142" s="17">
        <v>600</v>
      </c>
      <c r="G142" s="17">
        <v>800</v>
      </c>
      <c r="H142" s="17">
        <v>400</v>
      </c>
      <c r="I142" s="18">
        <f t="shared" si="6"/>
        <v>0.192</v>
      </c>
      <c r="J142" s="63"/>
      <c r="K142" s="64"/>
    </row>
    <row r="143" spans="1:11">
      <c r="A143" s="62"/>
      <c r="B143" s="17" t="s">
        <v>20</v>
      </c>
      <c r="C143" s="83"/>
      <c r="D143" s="17">
        <v>35</v>
      </c>
      <c r="E143" s="61"/>
      <c r="F143" s="17">
        <v>500</v>
      </c>
      <c r="G143" s="17">
        <v>750</v>
      </c>
      <c r="H143" s="17">
        <v>300</v>
      </c>
      <c r="I143" s="18">
        <f t="shared" si="5"/>
        <v>0.1125</v>
      </c>
      <c r="J143" s="63"/>
      <c r="K143" s="64"/>
    </row>
    <row r="144" spans="1:11" ht="22.8">
      <c r="A144" s="62" t="s">
        <v>86</v>
      </c>
      <c r="B144" s="17" t="s">
        <v>34</v>
      </c>
      <c r="C144" s="83">
        <v>1</v>
      </c>
      <c r="D144" s="17">
        <v>82</v>
      </c>
      <c r="E144" s="61">
        <v>16600</v>
      </c>
      <c r="F144" s="17">
        <v>600</v>
      </c>
      <c r="G144" s="17">
        <v>920</v>
      </c>
      <c r="H144" s="17">
        <v>800</v>
      </c>
      <c r="I144" s="18">
        <f t="shared" si="5"/>
        <v>0.44159999999999999</v>
      </c>
      <c r="J144" s="63">
        <v>86.33</v>
      </c>
      <c r="K144" s="82" t="s">
        <v>214</v>
      </c>
    </row>
    <row r="145" spans="1:11">
      <c r="A145" s="62"/>
      <c r="B145" s="17" t="s">
        <v>38</v>
      </c>
      <c r="C145" s="83"/>
      <c r="D145" s="17">
        <v>2500</v>
      </c>
      <c r="E145" s="61"/>
      <c r="F145" s="17">
        <v>3150</v>
      </c>
      <c r="G145" s="17">
        <v>1270</v>
      </c>
      <c r="H145" s="17">
        <v>1642</v>
      </c>
      <c r="I145" s="18">
        <f t="shared" si="5"/>
        <v>6.5688209999999998</v>
      </c>
      <c r="J145" s="63"/>
      <c r="K145" s="82"/>
    </row>
    <row r="146" spans="1:11">
      <c r="A146" s="62"/>
      <c r="B146" s="17" t="s">
        <v>38</v>
      </c>
      <c r="C146" s="83"/>
      <c r="D146" s="17">
        <v>2500</v>
      </c>
      <c r="E146" s="61"/>
      <c r="F146" s="17">
        <v>3150</v>
      </c>
      <c r="G146" s="17">
        <v>1270</v>
      </c>
      <c r="H146" s="17">
        <v>1642</v>
      </c>
      <c r="I146" s="18">
        <f t="shared" si="5"/>
        <v>6.5688209999999998</v>
      </c>
      <c r="J146" s="63"/>
      <c r="K146" s="82"/>
    </row>
    <row r="147" spans="1:11">
      <c r="A147" s="62"/>
      <c r="B147" s="17" t="s">
        <v>38</v>
      </c>
      <c r="C147" s="83"/>
      <c r="D147" s="17">
        <v>2500</v>
      </c>
      <c r="E147" s="61"/>
      <c r="F147" s="17">
        <v>3150</v>
      </c>
      <c r="G147" s="17">
        <v>1270</v>
      </c>
      <c r="H147" s="17">
        <v>1642</v>
      </c>
      <c r="I147" s="18">
        <f t="shared" si="5"/>
        <v>6.5688209999999998</v>
      </c>
      <c r="J147" s="63"/>
      <c r="K147" s="82"/>
    </row>
    <row r="148" spans="1:11">
      <c r="A148" s="62"/>
      <c r="B148" s="17" t="s">
        <v>48</v>
      </c>
      <c r="C148" s="83"/>
      <c r="D148" s="17">
        <v>1500</v>
      </c>
      <c r="E148" s="61"/>
      <c r="F148" s="17">
        <v>2300</v>
      </c>
      <c r="G148" s="17">
        <v>800</v>
      </c>
      <c r="H148" s="17">
        <v>1600</v>
      </c>
      <c r="I148" s="18">
        <f t="shared" si="5"/>
        <v>2.944</v>
      </c>
      <c r="J148" s="63"/>
      <c r="K148" s="82"/>
    </row>
    <row r="149" spans="1:11" ht="22.8">
      <c r="A149" s="62"/>
      <c r="B149" s="17" t="s">
        <v>49</v>
      </c>
      <c r="C149" s="83"/>
      <c r="D149" s="17">
        <v>418</v>
      </c>
      <c r="E149" s="61"/>
      <c r="F149" s="17">
        <v>1120</v>
      </c>
      <c r="G149" s="17">
        <v>2010</v>
      </c>
      <c r="H149" s="17">
        <v>580</v>
      </c>
      <c r="I149" s="18">
        <f t="shared" si="5"/>
        <v>1.305696</v>
      </c>
      <c r="J149" s="63"/>
      <c r="K149" s="82"/>
    </row>
    <row r="150" spans="1:11">
      <c r="A150" s="62"/>
      <c r="B150" s="17" t="s">
        <v>23</v>
      </c>
      <c r="C150" s="83"/>
      <c r="D150" s="17">
        <v>1800</v>
      </c>
      <c r="E150" s="61"/>
      <c r="F150" s="17">
        <v>2100</v>
      </c>
      <c r="G150" s="17">
        <v>2200</v>
      </c>
      <c r="H150" s="17">
        <v>1000</v>
      </c>
      <c r="I150" s="18">
        <f t="shared" si="5"/>
        <v>4.62</v>
      </c>
      <c r="J150" s="63"/>
      <c r="K150" s="82"/>
    </row>
    <row r="151" spans="1:11">
      <c r="A151" s="62"/>
      <c r="B151" s="17" t="s">
        <v>91</v>
      </c>
      <c r="C151" s="83"/>
      <c r="D151" s="17">
        <v>1115</v>
      </c>
      <c r="E151" s="61"/>
      <c r="F151" s="17"/>
      <c r="G151" s="17"/>
      <c r="H151" s="17"/>
      <c r="I151" s="18"/>
      <c r="J151" s="63"/>
      <c r="K151" s="82"/>
    </row>
    <row r="152" spans="1:11" ht="14.25" customHeight="1">
      <c r="A152" s="62" t="s">
        <v>87</v>
      </c>
      <c r="B152" s="17" t="s">
        <v>18</v>
      </c>
      <c r="C152" s="83">
        <v>1</v>
      </c>
      <c r="D152" s="17">
        <v>1033</v>
      </c>
      <c r="E152" s="61">
        <v>26200</v>
      </c>
      <c r="F152" s="17">
        <v>1445</v>
      </c>
      <c r="G152" s="17">
        <v>1645</v>
      </c>
      <c r="H152" s="17">
        <v>910</v>
      </c>
      <c r="I152" s="18">
        <f t="shared" si="5"/>
        <v>2.1630927500000001</v>
      </c>
      <c r="J152" s="74">
        <v>86.33</v>
      </c>
      <c r="K152" s="82" t="s">
        <v>45</v>
      </c>
    </row>
    <row r="153" spans="1:11">
      <c r="A153" s="62"/>
      <c r="B153" s="17" t="s">
        <v>27</v>
      </c>
      <c r="C153" s="83"/>
      <c r="D153" s="17">
        <v>2500</v>
      </c>
      <c r="E153" s="61"/>
      <c r="F153" s="17">
        <v>3150</v>
      </c>
      <c r="G153" s="17">
        <v>1270</v>
      </c>
      <c r="H153" s="17">
        <v>1642</v>
      </c>
      <c r="I153" s="18">
        <f t="shared" ref="I153:I163" si="7">F153*G153*H153/1000000000</f>
        <v>6.5688209999999998</v>
      </c>
      <c r="J153" s="75"/>
      <c r="K153" s="82"/>
    </row>
    <row r="154" spans="1:11">
      <c r="A154" s="62"/>
      <c r="B154" s="17" t="s">
        <v>27</v>
      </c>
      <c r="C154" s="83"/>
      <c r="D154" s="17">
        <v>2500</v>
      </c>
      <c r="E154" s="61"/>
      <c r="F154" s="17">
        <v>3150</v>
      </c>
      <c r="G154" s="17">
        <v>1270</v>
      </c>
      <c r="H154" s="17">
        <v>1642</v>
      </c>
      <c r="I154" s="18">
        <f t="shared" si="7"/>
        <v>6.5688209999999998</v>
      </c>
      <c r="J154" s="75"/>
      <c r="K154" s="82"/>
    </row>
    <row r="155" spans="1:11">
      <c r="A155" s="62"/>
      <c r="B155" s="17" t="s">
        <v>27</v>
      </c>
      <c r="C155" s="83"/>
      <c r="D155" s="17">
        <v>2500</v>
      </c>
      <c r="E155" s="61"/>
      <c r="F155" s="17">
        <v>3150</v>
      </c>
      <c r="G155" s="17">
        <v>1270</v>
      </c>
      <c r="H155" s="17">
        <v>1642</v>
      </c>
      <c r="I155" s="18">
        <f t="shared" si="7"/>
        <v>6.5688209999999998</v>
      </c>
      <c r="J155" s="75"/>
      <c r="K155" s="82"/>
    </row>
    <row r="156" spans="1:11" ht="22.8">
      <c r="A156" s="62"/>
      <c r="B156" s="17" t="s">
        <v>34</v>
      </c>
      <c r="C156" s="83"/>
      <c r="D156" s="17">
        <v>104</v>
      </c>
      <c r="E156" s="61"/>
      <c r="F156" s="17">
        <v>600</v>
      </c>
      <c r="G156" s="17">
        <v>1120</v>
      </c>
      <c r="H156" s="17">
        <v>1260</v>
      </c>
      <c r="I156" s="18">
        <f t="shared" si="7"/>
        <v>0.84672000000000003</v>
      </c>
      <c r="J156" s="75"/>
      <c r="K156" s="82" t="s">
        <v>47</v>
      </c>
    </row>
    <row r="157" spans="1:11">
      <c r="A157" s="62"/>
      <c r="B157" s="17" t="s">
        <v>18</v>
      </c>
      <c r="C157" s="83"/>
      <c r="D157" s="17">
        <v>1133</v>
      </c>
      <c r="E157" s="61"/>
      <c r="F157" s="17">
        <v>1645</v>
      </c>
      <c r="G157" s="17">
        <v>1545</v>
      </c>
      <c r="H157" s="17">
        <v>1160</v>
      </c>
      <c r="I157" s="18">
        <f t="shared" si="7"/>
        <v>2.948169</v>
      </c>
      <c r="J157" s="75"/>
      <c r="K157" s="82"/>
    </row>
    <row r="158" spans="1:11">
      <c r="A158" s="62"/>
      <c r="B158" s="17" t="s">
        <v>50</v>
      </c>
      <c r="C158" s="83"/>
      <c r="D158" s="17">
        <v>210</v>
      </c>
      <c r="E158" s="61"/>
      <c r="F158" s="17">
        <v>980</v>
      </c>
      <c r="G158" s="17">
        <v>600</v>
      </c>
      <c r="H158" s="17">
        <v>870</v>
      </c>
      <c r="I158" s="18">
        <f t="shared" si="7"/>
        <v>0.51156000000000001</v>
      </c>
      <c r="J158" s="75"/>
      <c r="K158" s="82"/>
    </row>
    <row r="159" spans="1:11">
      <c r="A159" s="62"/>
      <c r="B159" s="17" t="s">
        <v>18</v>
      </c>
      <c r="C159" s="83"/>
      <c r="D159" s="17">
        <v>80</v>
      </c>
      <c r="E159" s="61"/>
      <c r="F159" s="17">
        <v>700</v>
      </c>
      <c r="G159" s="17">
        <v>550</v>
      </c>
      <c r="H159" s="17">
        <v>1350</v>
      </c>
      <c r="I159" s="18">
        <f t="shared" si="7"/>
        <v>0.51975000000000005</v>
      </c>
      <c r="J159" s="75"/>
      <c r="K159" s="82"/>
    </row>
    <row r="160" spans="1:11">
      <c r="A160" s="62"/>
      <c r="B160" s="17" t="s">
        <v>18</v>
      </c>
      <c r="C160" s="83"/>
      <c r="D160" s="17">
        <v>80</v>
      </c>
      <c r="E160" s="61"/>
      <c r="F160" s="17">
        <v>700</v>
      </c>
      <c r="G160" s="17">
        <v>550</v>
      </c>
      <c r="H160" s="17">
        <v>1350</v>
      </c>
      <c r="I160" s="18">
        <f t="shared" si="7"/>
        <v>0.51975000000000005</v>
      </c>
      <c r="J160" s="75"/>
      <c r="K160" s="82"/>
    </row>
    <row r="161" spans="1:11">
      <c r="A161" s="62"/>
      <c r="B161" s="17" t="s">
        <v>23</v>
      </c>
      <c r="C161" s="83"/>
      <c r="D161" s="17">
        <v>5000</v>
      </c>
      <c r="E161" s="61"/>
      <c r="F161" s="17">
        <v>2100</v>
      </c>
      <c r="G161" s="17">
        <v>2200</v>
      </c>
      <c r="H161" s="17">
        <v>2000</v>
      </c>
      <c r="I161" s="18">
        <f t="shared" si="7"/>
        <v>9.24</v>
      </c>
      <c r="J161" s="75"/>
      <c r="K161" s="82"/>
    </row>
    <row r="162" spans="1:11">
      <c r="A162" s="62"/>
      <c r="B162" s="17" t="s">
        <v>23</v>
      </c>
      <c r="C162" s="83"/>
      <c r="D162" s="17">
        <v>5000</v>
      </c>
      <c r="E162" s="61"/>
      <c r="F162" s="17">
        <v>2100</v>
      </c>
      <c r="G162" s="17">
        <v>2200</v>
      </c>
      <c r="H162" s="17">
        <v>2000</v>
      </c>
      <c r="I162" s="18">
        <f t="shared" si="7"/>
        <v>9.24</v>
      </c>
      <c r="J162" s="75"/>
      <c r="K162" s="82"/>
    </row>
    <row r="163" spans="1:11">
      <c r="A163" s="62"/>
      <c r="B163" s="17" t="s">
        <v>23</v>
      </c>
      <c r="C163" s="83"/>
      <c r="D163" s="17">
        <v>800</v>
      </c>
      <c r="E163" s="61"/>
      <c r="F163" s="17">
        <v>1050</v>
      </c>
      <c r="G163" s="17">
        <v>1100</v>
      </c>
      <c r="H163" s="17">
        <v>2000</v>
      </c>
      <c r="I163" s="18">
        <f t="shared" si="7"/>
        <v>2.31</v>
      </c>
      <c r="J163" s="75"/>
      <c r="K163" s="82"/>
    </row>
    <row r="164" spans="1:11">
      <c r="A164" s="62"/>
      <c r="B164" s="17" t="s">
        <v>91</v>
      </c>
      <c r="C164" s="83"/>
      <c r="D164" s="17">
        <v>1105</v>
      </c>
      <c r="E164" s="61"/>
      <c r="F164" s="17"/>
      <c r="G164" s="17"/>
      <c r="H164" s="17"/>
      <c r="I164" s="18"/>
      <c r="J164" s="76"/>
      <c r="K164" s="82"/>
    </row>
    <row r="165" spans="1:11">
      <c r="A165" s="58" t="s">
        <v>88</v>
      </c>
      <c r="B165" s="17" t="s">
        <v>97</v>
      </c>
      <c r="C165" s="58">
        <v>1</v>
      </c>
      <c r="D165" s="17">
        <v>2600</v>
      </c>
      <c r="E165" s="17">
        <v>5600</v>
      </c>
      <c r="F165" s="17">
        <v>5600</v>
      </c>
      <c r="G165" s="17">
        <v>2000</v>
      </c>
      <c r="H165" s="17">
        <v>2400</v>
      </c>
      <c r="I165" s="18">
        <f t="shared" si="5"/>
        <v>26.88</v>
      </c>
      <c r="J165" s="18">
        <v>38.659999999999997</v>
      </c>
      <c r="K165" s="18" t="s">
        <v>215</v>
      </c>
    </row>
    <row r="166" spans="1:11" ht="22.8">
      <c r="A166" s="62" t="s">
        <v>89</v>
      </c>
      <c r="B166" s="17" t="s">
        <v>94</v>
      </c>
      <c r="C166" s="62">
        <v>1</v>
      </c>
      <c r="D166" s="17">
        <v>60</v>
      </c>
      <c r="E166" s="61">
        <v>13100</v>
      </c>
      <c r="F166" s="17">
        <v>1300</v>
      </c>
      <c r="G166" s="17">
        <v>550</v>
      </c>
      <c r="H166" s="17">
        <v>1500</v>
      </c>
      <c r="I166" s="18">
        <f t="shared" si="5"/>
        <v>1.0725</v>
      </c>
      <c r="J166" s="63">
        <v>86.33</v>
      </c>
      <c r="K166" s="61" t="s">
        <v>108</v>
      </c>
    </row>
    <row r="167" spans="1:11" ht="22.8">
      <c r="A167" s="62"/>
      <c r="B167" s="17" t="s">
        <v>94</v>
      </c>
      <c r="C167" s="62"/>
      <c r="D167" s="17">
        <v>60</v>
      </c>
      <c r="E167" s="61"/>
      <c r="F167" s="17">
        <v>1300</v>
      </c>
      <c r="G167" s="17">
        <v>550</v>
      </c>
      <c r="H167" s="17">
        <v>1500</v>
      </c>
      <c r="I167" s="18">
        <f t="shared" si="5"/>
        <v>1.0725</v>
      </c>
      <c r="J167" s="63"/>
      <c r="K167" s="61"/>
    </row>
    <row r="168" spans="1:11" ht="22.8">
      <c r="A168" s="62"/>
      <c r="B168" s="17" t="s">
        <v>94</v>
      </c>
      <c r="C168" s="62"/>
      <c r="D168" s="17">
        <v>800</v>
      </c>
      <c r="E168" s="61"/>
      <c r="F168" s="17">
        <v>1080</v>
      </c>
      <c r="G168" s="17">
        <v>1090</v>
      </c>
      <c r="H168" s="17">
        <v>750</v>
      </c>
      <c r="I168" s="18">
        <f t="shared" si="5"/>
        <v>0.88290000000000002</v>
      </c>
      <c r="J168" s="63"/>
      <c r="K168" s="61"/>
    </row>
    <row r="169" spans="1:11" ht="22.8">
      <c r="A169" s="62"/>
      <c r="B169" s="17" t="s">
        <v>94</v>
      </c>
      <c r="C169" s="62"/>
      <c r="D169" s="17">
        <v>500</v>
      </c>
      <c r="E169" s="61"/>
      <c r="F169" s="17">
        <v>1260</v>
      </c>
      <c r="G169" s="17">
        <v>1260</v>
      </c>
      <c r="H169" s="17">
        <v>1150</v>
      </c>
      <c r="I169" s="18">
        <f t="shared" si="5"/>
        <v>1.8257399999999999</v>
      </c>
      <c r="J169" s="63"/>
      <c r="K169" s="61"/>
    </row>
    <row r="170" spans="1:11" ht="22.8">
      <c r="A170" s="62"/>
      <c r="B170" s="17" t="s">
        <v>94</v>
      </c>
      <c r="C170" s="62"/>
      <c r="D170" s="17">
        <v>300</v>
      </c>
      <c r="E170" s="61"/>
      <c r="F170" s="17">
        <v>2130</v>
      </c>
      <c r="G170" s="17">
        <v>1500</v>
      </c>
      <c r="H170" s="17">
        <v>1550</v>
      </c>
      <c r="I170" s="18">
        <f t="shared" si="5"/>
        <v>4.9522500000000003</v>
      </c>
      <c r="J170" s="63"/>
      <c r="K170" s="61"/>
    </row>
    <row r="171" spans="1:11" ht="22.8">
      <c r="A171" s="62"/>
      <c r="B171" s="17" t="s">
        <v>94</v>
      </c>
      <c r="C171" s="62"/>
      <c r="D171" s="17">
        <v>400</v>
      </c>
      <c r="E171" s="61"/>
      <c r="F171" s="17">
        <v>5000</v>
      </c>
      <c r="G171" s="17">
        <v>2000</v>
      </c>
      <c r="H171" s="17">
        <v>1520</v>
      </c>
      <c r="I171" s="18">
        <f t="shared" si="5"/>
        <v>15.2</v>
      </c>
      <c r="J171" s="63"/>
      <c r="K171" s="61"/>
    </row>
    <row r="172" spans="1:11">
      <c r="A172" s="62"/>
      <c r="B172" s="17" t="s">
        <v>95</v>
      </c>
      <c r="C172" s="62"/>
      <c r="D172" s="17">
        <v>800</v>
      </c>
      <c r="E172" s="61"/>
      <c r="F172" s="17">
        <v>1050</v>
      </c>
      <c r="G172" s="17">
        <v>1050</v>
      </c>
      <c r="H172" s="17">
        <v>1500</v>
      </c>
      <c r="I172" s="18">
        <f t="shared" si="5"/>
        <v>1.6537500000000001</v>
      </c>
      <c r="J172" s="63"/>
      <c r="K172" s="61"/>
    </row>
    <row r="173" spans="1:11" ht="12.75" customHeight="1">
      <c r="A173" s="62"/>
      <c r="B173" s="17" t="s">
        <v>95</v>
      </c>
      <c r="C173" s="62"/>
      <c r="D173" s="17">
        <v>800</v>
      </c>
      <c r="E173" s="61"/>
      <c r="F173" s="17">
        <v>1050</v>
      </c>
      <c r="G173" s="17">
        <v>1050</v>
      </c>
      <c r="H173" s="17">
        <v>1500</v>
      </c>
      <c r="I173" s="18">
        <f t="shared" si="5"/>
        <v>1.6537500000000001</v>
      </c>
      <c r="J173" s="63"/>
      <c r="K173" s="61"/>
    </row>
    <row r="174" spans="1:11" ht="12.75" customHeight="1">
      <c r="A174" s="62"/>
      <c r="B174" s="17" t="s">
        <v>95</v>
      </c>
      <c r="C174" s="62"/>
      <c r="D174" s="17">
        <v>800</v>
      </c>
      <c r="E174" s="61"/>
      <c r="F174" s="17">
        <v>1050</v>
      </c>
      <c r="G174" s="17">
        <v>1050</v>
      </c>
      <c r="H174" s="17">
        <v>1500</v>
      </c>
      <c r="I174" s="18">
        <f t="shared" si="5"/>
        <v>1.6537500000000001</v>
      </c>
      <c r="J174" s="63"/>
      <c r="K174" s="61"/>
    </row>
    <row r="175" spans="1:11" ht="12.75" customHeight="1">
      <c r="A175" s="62"/>
      <c r="B175" s="17" t="s">
        <v>95</v>
      </c>
      <c r="C175" s="62"/>
      <c r="D175" s="17">
        <v>800</v>
      </c>
      <c r="E175" s="61"/>
      <c r="F175" s="17">
        <v>1050</v>
      </c>
      <c r="G175" s="17">
        <v>1050</v>
      </c>
      <c r="H175" s="17">
        <v>1500</v>
      </c>
      <c r="I175" s="18">
        <f t="shared" si="5"/>
        <v>1.6537500000000001</v>
      </c>
      <c r="J175" s="63"/>
      <c r="K175" s="61"/>
    </row>
    <row r="176" spans="1:11" ht="12.75" customHeight="1">
      <c r="A176" s="62"/>
      <c r="B176" s="17" t="s">
        <v>95</v>
      </c>
      <c r="C176" s="62"/>
      <c r="D176" s="17">
        <v>864</v>
      </c>
      <c r="E176" s="61"/>
      <c r="F176" s="17"/>
      <c r="G176" s="17"/>
      <c r="H176" s="17"/>
      <c r="I176" s="18"/>
      <c r="J176" s="63"/>
      <c r="K176" s="61"/>
    </row>
    <row r="177" spans="1:11" ht="22.8">
      <c r="A177" s="62"/>
      <c r="B177" s="17" t="s">
        <v>96</v>
      </c>
      <c r="C177" s="62"/>
      <c r="D177" s="17">
        <v>700</v>
      </c>
      <c r="E177" s="61"/>
      <c r="F177" s="17">
        <v>1670</v>
      </c>
      <c r="G177" s="17">
        <v>1210</v>
      </c>
      <c r="H177" s="17">
        <v>1550</v>
      </c>
      <c r="I177" s="18">
        <f t="shared" si="5"/>
        <v>3.132085</v>
      </c>
      <c r="J177" s="63"/>
      <c r="K177" s="61"/>
    </row>
    <row r="178" spans="1:11" ht="22.8">
      <c r="A178" s="62"/>
      <c r="B178" s="17" t="s">
        <v>96</v>
      </c>
      <c r="C178" s="62"/>
      <c r="D178" s="17">
        <v>700</v>
      </c>
      <c r="E178" s="61"/>
      <c r="F178" s="17">
        <v>1670</v>
      </c>
      <c r="G178" s="17">
        <v>1210</v>
      </c>
      <c r="H178" s="17">
        <v>1550</v>
      </c>
      <c r="I178" s="18">
        <f t="shared" si="5"/>
        <v>3.132085</v>
      </c>
      <c r="J178" s="63"/>
      <c r="K178" s="61"/>
    </row>
    <row r="179" spans="1:11" ht="22.8">
      <c r="A179" s="62"/>
      <c r="B179" s="17" t="s">
        <v>96</v>
      </c>
      <c r="C179" s="62"/>
      <c r="D179" s="17">
        <v>700</v>
      </c>
      <c r="E179" s="61"/>
      <c r="F179" s="17">
        <v>1670</v>
      </c>
      <c r="G179" s="17">
        <v>1210</v>
      </c>
      <c r="H179" s="17">
        <v>1550</v>
      </c>
      <c r="I179" s="18">
        <f t="shared" si="5"/>
        <v>3.132085</v>
      </c>
      <c r="J179" s="63"/>
      <c r="K179" s="61"/>
    </row>
    <row r="180" spans="1:11" ht="12.75" customHeight="1">
      <c r="A180" s="62"/>
      <c r="B180" s="17" t="s">
        <v>91</v>
      </c>
      <c r="C180" s="62"/>
      <c r="D180" s="17">
        <v>660</v>
      </c>
      <c r="E180" s="61"/>
      <c r="F180" s="17"/>
      <c r="G180" s="17"/>
      <c r="H180" s="17"/>
      <c r="I180" s="18"/>
      <c r="J180" s="63"/>
      <c r="K180" s="61"/>
    </row>
    <row r="181" spans="1:11" ht="12.75" customHeight="1">
      <c r="A181" s="62" t="s">
        <v>98</v>
      </c>
      <c r="B181" s="17" t="s">
        <v>51</v>
      </c>
      <c r="C181" s="62">
        <v>1</v>
      </c>
      <c r="D181" s="17">
        <v>320</v>
      </c>
      <c r="E181" s="62">
        <v>13600</v>
      </c>
      <c r="F181" s="17">
        <v>1220</v>
      </c>
      <c r="G181" s="17">
        <v>1900</v>
      </c>
      <c r="H181" s="17">
        <v>880</v>
      </c>
      <c r="I181" s="18">
        <f t="shared" si="5"/>
        <v>2.0398399999999999</v>
      </c>
      <c r="J181" s="63">
        <v>86.33</v>
      </c>
      <c r="K181" s="61" t="s">
        <v>99</v>
      </c>
    </row>
    <row r="182" spans="1:11" ht="22.8">
      <c r="A182" s="62"/>
      <c r="B182" s="17" t="s">
        <v>94</v>
      </c>
      <c r="C182" s="62"/>
      <c r="D182" s="17">
        <v>600</v>
      </c>
      <c r="E182" s="62"/>
      <c r="F182" s="17">
        <v>1050</v>
      </c>
      <c r="G182" s="17">
        <v>1050</v>
      </c>
      <c r="H182" s="17">
        <v>1200</v>
      </c>
      <c r="I182" s="18">
        <f t="shared" si="5"/>
        <v>1.323</v>
      </c>
      <c r="J182" s="63"/>
      <c r="K182" s="61"/>
    </row>
    <row r="183" spans="1:11" ht="22.8">
      <c r="A183" s="62"/>
      <c r="B183" s="17" t="s">
        <v>94</v>
      </c>
      <c r="C183" s="62"/>
      <c r="D183" s="17">
        <v>400</v>
      </c>
      <c r="E183" s="62"/>
      <c r="F183" s="17">
        <v>1050</v>
      </c>
      <c r="G183" s="17">
        <v>1050</v>
      </c>
      <c r="H183" s="17">
        <v>1200</v>
      </c>
      <c r="I183" s="18">
        <f t="shared" si="5"/>
        <v>1.323</v>
      </c>
      <c r="J183" s="63"/>
      <c r="K183" s="61"/>
    </row>
    <row r="184" spans="1:11" ht="22.8">
      <c r="A184" s="62"/>
      <c r="B184" s="17" t="s">
        <v>94</v>
      </c>
      <c r="C184" s="62"/>
      <c r="D184" s="17">
        <v>300</v>
      </c>
      <c r="E184" s="62"/>
      <c r="F184" s="17">
        <v>1050</v>
      </c>
      <c r="G184" s="17">
        <v>1050</v>
      </c>
      <c r="H184" s="17">
        <v>1200</v>
      </c>
      <c r="I184" s="18">
        <f t="shared" si="5"/>
        <v>1.323</v>
      </c>
      <c r="J184" s="63"/>
      <c r="K184" s="61"/>
    </row>
    <row r="185" spans="1:11" ht="22.8">
      <c r="A185" s="62"/>
      <c r="B185" s="17" t="s">
        <v>94</v>
      </c>
      <c r="C185" s="62"/>
      <c r="D185" s="17">
        <v>200</v>
      </c>
      <c r="E185" s="62"/>
      <c r="F185" s="17">
        <v>850</v>
      </c>
      <c r="G185" s="17">
        <v>680</v>
      </c>
      <c r="H185" s="17">
        <v>660</v>
      </c>
      <c r="I185" s="18">
        <f t="shared" si="5"/>
        <v>0.38147999999999999</v>
      </c>
      <c r="J185" s="63"/>
      <c r="K185" s="61"/>
    </row>
    <row r="186" spans="1:11" ht="22.8">
      <c r="A186" s="62"/>
      <c r="B186" s="17" t="s">
        <v>94</v>
      </c>
      <c r="C186" s="62"/>
      <c r="D186" s="17">
        <v>170</v>
      </c>
      <c r="E186" s="62"/>
      <c r="F186" s="17">
        <v>1000</v>
      </c>
      <c r="G186" s="17">
        <v>1000</v>
      </c>
      <c r="H186" s="17">
        <v>1000</v>
      </c>
      <c r="I186" s="18">
        <f t="shared" ref="I186:I204" si="8">F186*G186*H186/1000000000</f>
        <v>1</v>
      </c>
      <c r="J186" s="63"/>
      <c r="K186" s="61"/>
    </row>
    <row r="187" spans="1:11" ht="22.8">
      <c r="A187" s="62"/>
      <c r="B187" s="17" t="s">
        <v>94</v>
      </c>
      <c r="C187" s="62"/>
      <c r="D187" s="17">
        <v>200</v>
      </c>
      <c r="E187" s="62"/>
      <c r="F187" s="17">
        <v>1000</v>
      </c>
      <c r="G187" s="17">
        <v>1100</v>
      </c>
      <c r="H187" s="17">
        <v>1000</v>
      </c>
      <c r="I187" s="18">
        <f t="shared" si="8"/>
        <v>1.1000000000000001</v>
      </c>
      <c r="J187" s="63"/>
      <c r="K187" s="61"/>
    </row>
    <row r="188" spans="1:11" ht="22.8">
      <c r="A188" s="62"/>
      <c r="B188" s="17" t="s">
        <v>94</v>
      </c>
      <c r="C188" s="62"/>
      <c r="D188" s="17">
        <v>300</v>
      </c>
      <c r="E188" s="62"/>
      <c r="F188" s="17">
        <v>750</v>
      </c>
      <c r="G188" s="17">
        <v>750</v>
      </c>
      <c r="H188" s="17">
        <v>1700</v>
      </c>
      <c r="I188" s="18">
        <f t="shared" si="8"/>
        <v>0.95625000000000004</v>
      </c>
      <c r="J188" s="63"/>
      <c r="K188" s="61"/>
    </row>
    <row r="189" spans="1:11" ht="22.8">
      <c r="A189" s="62"/>
      <c r="B189" s="17" t="s">
        <v>94</v>
      </c>
      <c r="C189" s="62"/>
      <c r="D189" s="17">
        <v>7000</v>
      </c>
      <c r="E189" s="62"/>
      <c r="F189" s="17">
        <v>9700</v>
      </c>
      <c r="G189" s="17">
        <v>2200</v>
      </c>
      <c r="H189" s="17">
        <v>2400</v>
      </c>
      <c r="I189" s="18">
        <f t="shared" si="8"/>
        <v>51.216000000000001</v>
      </c>
      <c r="J189" s="63"/>
      <c r="K189" s="61"/>
    </row>
    <row r="190" spans="1:11">
      <c r="A190" s="62" t="s">
        <v>100</v>
      </c>
      <c r="B190" s="17" t="s">
        <v>101</v>
      </c>
      <c r="C190" s="62">
        <v>1</v>
      </c>
      <c r="D190" s="17">
        <v>2060</v>
      </c>
      <c r="E190" s="62">
        <v>22000</v>
      </c>
      <c r="F190" s="17">
        <v>1400</v>
      </c>
      <c r="G190" s="17">
        <v>1400</v>
      </c>
      <c r="H190" s="17">
        <v>1460</v>
      </c>
      <c r="I190" s="18">
        <f t="shared" si="8"/>
        <v>2.8616000000000001</v>
      </c>
      <c r="J190" s="63">
        <v>86.33</v>
      </c>
      <c r="K190" s="61" t="s">
        <v>99</v>
      </c>
    </row>
    <row r="191" spans="1:11">
      <c r="A191" s="62"/>
      <c r="B191" s="17" t="s">
        <v>101</v>
      </c>
      <c r="C191" s="62"/>
      <c r="D191" s="17">
        <v>2060</v>
      </c>
      <c r="E191" s="62"/>
      <c r="F191" s="17">
        <v>1400</v>
      </c>
      <c r="G191" s="17">
        <v>1400</v>
      </c>
      <c r="H191" s="17">
        <v>1460</v>
      </c>
      <c r="I191" s="18">
        <f t="shared" si="8"/>
        <v>2.8616000000000001</v>
      </c>
      <c r="J191" s="63"/>
      <c r="K191" s="61"/>
    </row>
    <row r="192" spans="1:11">
      <c r="A192" s="62"/>
      <c r="B192" s="17" t="s">
        <v>101</v>
      </c>
      <c r="C192" s="62"/>
      <c r="D192" s="17">
        <v>2060</v>
      </c>
      <c r="E192" s="62"/>
      <c r="F192" s="17">
        <v>1400</v>
      </c>
      <c r="G192" s="17">
        <v>1400</v>
      </c>
      <c r="H192" s="17">
        <v>1460</v>
      </c>
      <c r="I192" s="18">
        <f t="shared" si="8"/>
        <v>2.8616000000000001</v>
      </c>
      <c r="J192" s="63"/>
      <c r="K192" s="61"/>
    </row>
    <row r="193" spans="1:11">
      <c r="A193" s="62"/>
      <c r="B193" s="17" t="s">
        <v>101</v>
      </c>
      <c r="C193" s="62"/>
      <c r="D193" s="17">
        <v>1720</v>
      </c>
      <c r="E193" s="62"/>
      <c r="F193" s="17">
        <v>1200</v>
      </c>
      <c r="G193" s="17">
        <v>1200</v>
      </c>
      <c r="H193" s="17">
        <v>1460</v>
      </c>
      <c r="I193" s="18">
        <f t="shared" si="8"/>
        <v>2.1023999999999998</v>
      </c>
      <c r="J193" s="63"/>
      <c r="K193" s="61"/>
    </row>
    <row r="194" spans="1:11">
      <c r="A194" s="62"/>
      <c r="B194" s="17" t="s">
        <v>101</v>
      </c>
      <c r="C194" s="62"/>
      <c r="D194" s="17">
        <v>1720</v>
      </c>
      <c r="E194" s="62"/>
      <c r="F194" s="17">
        <v>1200</v>
      </c>
      <c r="G194" s="17">
        <v>1200</v>
      </c>
      <c r="H194" s="17">
        <v>1460</v>
      </c>
      <c r="I194" s="18">
        <f t="shared" si="8"/>
        <v>2.1023999999999998</v>
      </c>
      <c r="J194" s="63"/>
      <c r="K194" s="61"/>
    </row>
    <row r="195" spans="1:11" ht="12.75" customHeight="1">
      <c r="A195" s="62"/>
      <c r="B195" s="17" t="s">
        <v>101</v>
      </c>
      <c r="C195" s="62"/>
      <c r="D195" s="17">
        <v>1305</v>
      </c>
      <c r="E195" s="62"/>
      <c r="F195" s="17">
        <v>1050</v>
      </c>
      <c r="G195" s="17">
        <v>2100</v>
      </c>
      <c r="H195" s="17">
        <v>1200</v>
      </c>
      <c r="I195" s="18">
        <f t="shared" si="8"/>
        <v>2.6459999999999999</v>
      </c>
      <c r="J195" s="63"/>
      <c r="K195" s="61"/>
    </row>
    <row r="196" spans="1:11" ht="12.75" customHeight="1">
      <c r="A196" s="62"/>
      <c r="B196" s="17" t="s">
        <v>27</v>
      </c>
      <c r="C196" s="62"/>
      <c r="D196" s="17">
        <v>300</v>
      </c>
      <c r="E196" s="62"/>
      <c r="F196" s="17">
        <v>2210</v>
      </c>
      <c r="G196" s="17">
        <v>1220</v>
      </c>
      <c r="H196" s="17">
        <v>1760</v>
      </c>
      <c r="I196" s="18">
        <f t="shared" si="8"/>
        <v>4.7453120000000002</v>
      </c>
      <c r="J196" s="63"/>
      <c r="K196" s="61"/>
    </row>
    <row r="197" spans="1:11" ht="12.75" customHeight="1">
      <c r="A197" s="62"/>
      <c r="B197" s="17" t="s">
        <v>95</v>
      </c>
      <c r="C197" s="62"/>
      <c r="D197" s="17">
        <v>800</v>
      </c>
      <c r="E197" s="62"/>
      <c r="F197" s="17">
        <v>1750</v>
      </c>
      <c r="G197" s="17">
        <v>965</v>
      </c>
      <c r="H197" s="17">
        <v>1300</v>
      </c>
      <c r="I197" s="18">
        <f t="shared" si="8"/>
        <v>2.1953749999999999</v>
      </c>
      <c r="J197" s="63"/>
      <c r="K197" s="61"/>
    </row>
    <row r="198" spans="1:11" ht="12.75" customHeight="1">
      <c r="A198" s="62"/>
      <c r="B198" s="17" t="s">
        <v>95</v>
      </c>
      <c r="C198" s="62"/>
      <c r="D198" s="17">
        <v>1200</v>
      </c>
      <c r="E198" s="62"/>
      <c r="F198" s="17">
        <v>4000</v>
      </c>
      <c r="G198" s="17">
        <v>500</v>
      </c>
      <c r="H198" s="17">
        <v>500</v>
      </c>
      <c r="I198" s="18">
        <f t="shared" si="8"/>
        <v>1</v>
      </c>
      <c r="J198" s="63"/>
      <c r="K198" s="61"/>
    </row>
    <row r="199" spans="1:11" ht="22.8">
      <c r="A199" s="62"/>
      <c r="B199" s="17" t="s">
        <v>94</v>
      </c>
      <c r="C199" s="62"/>
      <c r="D199" s="17">
        <v>200</v>
      </c>
      <c r="E199" s="62"/>
      <c r="F199" s="17">
        <v>2500</v>
      </c>
      <c r="G199" s="17">
        <v>1670</v>
      </c>
      <c r="H199" s="17">
        <v>1230</v>
      </c>
      <c r="I199" s="18">
        <f t="shared" si="8"/>
        <v>5.1352500000000001</v>
      </c>
      <c r="J199" s="63"/>
      <c r="K199" s="61"/>
    </row>
    <row r="200" spans="1:11" ht="22.8">
      <c r="A200" s="62"/>
      <c r="B200" s="17" t="s">
        <v>94</v>
      </c>
      <c r="C200" s="62"/>
      <c r="D200" s="17">
        <v>400</v>
      </c>
      <c r="E200" s="62"/>
      <c r="F200" s="17">
        <v>2500</v>
      </c>
      <c r="G200" s="17">
        <v>1670</v>
      </c>
      <c r="H200" s="17">
        <v>1800</v>
      </c>
      <c r="I200" s="18">
        <f t="shared" si="8"/>
        <v>7.5149999999999997</v>
      </c>
      <c r="J200" s="63"/>
      <c r="K200" s="61"/>
    </row>
    <row r="201" spans="1:11" ht="22.8">
      <c r="A201" s="62"/>
      <c r="B201" s="17" t="s">
        <v>94</v>
      </c>
      <c r="C201" s="62"/>
      <c r="D201" s="17">
        <v>330</v>
      </c>
      <c r="E201" s="62"/>
      <c r="F201" s="17">
        <v>1050</v>
      </c>
      <c r="G201" s="17">
        <v>1050</v>
      </c>
      <c r="H201" s="17">
        <v>1200</v>
      </c>
      <c r="I201" s="18">
        <f t="shared" si="8"/>
        <v>1.323</v>
      </c>
      <c r="J201" s="63"/>
      <c r="K201" s="61"/>
    </row>
    <row r="202" spans="1:11" ht="22.8">
      <c r="A202" s="62"/>
      <c r="B202" s="17" t="s">
        <v>94</v>
      </c>
      <c r="C202" s="62"/>
      <c r="D202" s="17">
        <v>200</v>
      </c>
      <c r="E202" s="62"/>
      <c r="F202" s="17">
        <v>1000</v>
      </c>
      <c r="G202" s="17">
        <v>1100</v>
      </c>
      <c r="H202" s="17">
        <v>1000</v>
      </c>
      <c r="I202" s="18">
        <f t="shared" si="8"/>
        <v>1.1000000000000001</v>
      </c>
      <c r="J202" s="63"/>
      <c r="K202" s="61"/>
    </row>
    <row r="203" spans="1:11" ht="22.8">
      <c r="A203" s="62"/>
      <c r="B203" s="17" t="s">
        <v>94</v>
      </c>
      <c r="C203" s="62"/>
      <c r="D203" s="17">
        <v>220</v>
      </c>
      <c r="E203" s="62"/>
      <c r="F203" s="17">
        <v>750</v>
      </c>
      <c r="G203" s="17">
        <v>750</v>
      </c>
      <c r="H203" s="17">
        <v>850</v>
      </c>
      <c r="I203" s="18">
        <f t="shared" si="8"/>
        <v>0.47812500000000002</v>
      </c>
      <c r="J203" s="63"/>
      <c r="K203" s="61"/>
    </row>
    <row r="204" spans="1:11" ht="22.8">
      <c r="A204" s="62"/>
      <c r="B204" s="17" t="s">
        <v>94</v>
      </c>
      <c r="C204" s="62"/>
      <c r="D204" s="17">
        <v>60</v>
      </c>
      <c r="E204" s="62"/>
      <c r="F204" s="17">
        <v>750</v>
      </c>
      <c r="G204" s="17">
        <v>750</v>
      </c>
      <c r="H204" s="17">
        <v>850</v>
      </c>
      <c r="I204" s="18">
        <f t="shared" si="8"/>
        <v>0.47812500000000002</v>
      </c>
      <c r="J204" s="63"/>
      <c r="K204" s="61"/>
    </row>
    <row r="205" spans="1:11">
      <c r="A205" s="59"/>
      <c r="B205" s="17" t="s">
        <v>216</v>
      </c>
      <c r="C205" s="17">
        <f>SUM(C10:C204)</f>
        <v>42</v>
      </c>
      <c r="D205" s="17">
        <f>SUM(D10:D204)</f>
        <v>428685</v>
      </c>
      <c r="E205" s="17">
        <f>SUM(E10:E204)</f>
        <v>510825</v>
      </c>
      <c r="F205" s="59"/>
      <c r="G205" s="59"/>
      <c r="H205" s="59"/>
      <c r="I205" s="59"/>
      <c r="J205" s="18">
        <f>SUM(J10:J204)</f>
        <v>3280.1351349999991</v>
      </c>
      <c r="K205" s="60"/>
    </row>
  </sheetData>
  <autoFilter ref="B1:B205" xr:uid="{00000000-0001-0000-0000-000000000000}"/>
  <mergeCells count="75">
    <mergeCell ref="I2:J2"/>
    <mergeCell ref="D1:F7"/>
    <mergeCell ref="B2:C3"/>
    <mergeCell ref="C34:C35"/>
    <mergeCell ref="K144:K151"/>
    <mergeCell ref="C144:C151"/>
    <mergeCell ref="E144:E151"/>
    <mergeCell ref="C36:C55"/>
    <mergeCell ref="E36:E55"/>
    <mergeCell ref="J36:J55"/>
    <mergeCell ref="K36:K55"/>
    <mergeCell ref="J56:J72"/>
    <mergeCell ref="K79:K84"/>
    <mergeCell ref="J79:J84"/>
    <mergeCell ref="J85:J99"/>
    <mergeCell ref="K85:K99"/>
    <mergeCell ref="C120:C143"/>
    <mergeCell ref="E120:E143"/>
    <mergeCell ref="J120:J143"/>
    <mergeCell ref="A120:A143"/>
    <mergeCell ref="K73:K78"/>
    <mergeCell ref="J73:J78"/>
    <mergeCell ref="E85:E99"/>
    <mergeCell ref="A79:A84"/>
    <mergeCell ref="C79:C84"/>
    <mergeCell ref="E79:E84"/>
    <mergeCell ref="A73:A78"/>
    <mergeCell ref="C73:C78"/>
    <mergeCell ref="E73:E78"/>
    <mergeCell ref="K120:K143"/>
    <mergeCell ref="K100:K109"/>
    <mergeCell ref="C110:C119"/>
    <mergeCell ref="A144:A151"/>
    <mergeCell ref="J144:J151"/>
    <mergeCell ref="J152:J164"/>
    <mergeCell ref="A166:A180"/>
    <mergeCell ref="C166:C180"/>
    <mergeCell ref="E166:E180"/>
    <mergeCell ref="J166:J180"/>
    <mergeCell ref="K152:K155"/>
    <mergeCell ref="A152:A164"/>
    <mergeCell ref="C152:C164"/>
    <mergeCell ref="E152:E164"/>
    <mergeCell ref="K156:K164"/>
    <mergeCell ref="A34:A35"/>
    <mergeCell ref="E34:E35"/>
    <mergeCell ref="J34:J35"/>
    <mergeCell ref="K34:K35"/>
    <mergeCell ref="D89:D91"/>
    <mergeCell ref="K56:K72"/>
    <mergeCell ref="C56:C72"/>
    <mergeCell ref="E56:E72"/>
    <mergeCell ref="A36:A55"/>
    <mergeCell ref="A56:A72"/>
    <mergeCell ref="A85:A99"/>
    <mergeCell ref="C85:C99"/>
    <mergeCell ref="A110:A119"/>
    <mergeCell ref="E110:E119"/>
    <mergeCell ref="J110:J119"/>
    <mergeCell ref="K110:K119"/>
    <mergeCell ref="A100:A109"/>
    <mergeCell ref="C100:C109"/>
    <mergeCell ref="E100:E109"/>
    <mergeCell ref="J100:J109"/>
    <mergeCell ref="A190:A204"/>
    <mergeCell ref="C190:C204"/>
    <mergeCell ref="E190:E204"/>
    <mergeCell ref="J190:J204"/>
    <mergeCell ref="K190:K204"/>
    <mergeCell ref="K166:K180"/>
    <mergeCell ref="A181:A189"/>
    <mergeCell ref="C181:C189"/>
    <mergeCell ref="E181:E189"/>
    <mergeCell ref="J181:J189"/>
    <mergeCell ref="K181:K189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016B-CFAF-446E-B079-1B379A943A78}">
  <dimension ref="A1:R17"/>
  <sheetViews>
    <sheetView workbookViewId="0">
      <selection activeCell="A4" sqref="A4"/>
    </sheetView>
  </sheetViews>
  <sheetFormatPr defaultColWidth="9.05078125" defaultRowHeight="14.4"/>
  <cols>
    <col min="1" max="1" width="8" style="27" customWidth="1"/>
    <col min="2" max="2" width="13.9453125" style="27" customWidth="1"/>
    <col min="3" max="3" width="7.47265625" style="27" customWidth="1"/>
    <col min="4" max="4" width="7.3671875" style="27" customWidth="1"/>
    <col min="5" max="5" width="1.41796875" style="27" customWidth="1"/>
    <col min="6" max="6" width="1.9453125" style="27" customWidth="1"/>
    <col min="7" max="7" width="8" style="27" customWidth="1"/>
    <col min="8" max="8" width="11.68359375" style="27" customWidth="1"/>
    <col min="9" max="9" width="12.20703125" style="27" customWidth="1"/>
    <col min="10" max="10" width="10.26171875" style="27" customWidth="1"/>
    <col min="11" max="11" width="12.47265625" style="27" customWidth="1"/>
    <col min="12" max="12" width="7.89453125" style="27" customWidth="1"/>
    <col min="13" max="13" width="13.26171875" style="27" customWidth="1"/>
    <col min="14" max="14" width="19.83984375" style="27" customWidth="1"/>
    <col min="15" max="256" width="9.05078125" style="27"/>
    <col min="257" max="257" width="8" style="27" customWidth="1"/>
    <col min="258" max="258" width="13.9453125" style="27" customWidth="1"/>
    <col min="259" max="259" width="7.47265625" style="27" customWidth="1"/>
    <col min="260" max="260" width="7.3671875" style="27" customWidth="1"/>
    <col min="261" max="261" width="1.41796875" style="27" customWidth="1"/>
    <col min="262" max="262" width="1.9453125" style="27" customWidth="1"/>
    <col min="263" max="263" width="8" style="27" customWidth="1"/>
    <col min="264" max="264" width="11.68359375" style="27" customWidth="1"/>
    <col min="265" max="265" width="12.20703125" style="27" customWidth="1"/>
    <col min="266" max="266" width="10.26171875" style="27" customWidth="1"/>
    <col min="267" max="267" width="12.47265625" style="27" customWidth="1"/>
    <col min="268" max="268" width="7.89453125" style="27" customWidth="1"/>
    <col min="269" max="269" width="13.26171875" style="27" customWidth="1"/>
    <col min="270" max="270" width="19.83984375" style="27" customWidth="1"/>
    <col min="271" max="512" width="9.05078125" style="27"/>
    <col min="513" max="513" width="8" style="27" customWidth="1"/>
    <col min="514" max="514" width="13.9453125" style="27" customWidth="1"/>
    <col min="515" max="515" width="7.47265625" style="27" customWidth="1"/>
    <col min="516" max="516" width="7.3671875" style="27" customWidth="1"/>
    <col min="517" max="517" width="1.41796875" style="27" customWidth="1"/>
    <col min="518" max="518" width="1.9453125" style="27" customWidth="1"/>
    <col min="519" max="519" width="8" style="27" customWidth="1"/>
    <col min="520" max="520" width="11.68359375" style="27" customWidth="1"/>
    <col min="521" max="521" width="12.20703125" style="27" customWidth="1"/>
    <col min="522" max="522" width="10.26171875" style="27" customWidth="1"/>
    <col min="523" max="523" width="12.47265625" style="27" customWidth="1"/>
    <col min="524" max="524" width="7.89453125" style="27" customWidth="1"/>
    <col min="525" max="525" width="13.26171875" style="27" customWidth="1"/>
    <col min="526" max="526" width="19.83984375" style="27" customWidth="1"/>
    <col min="527" max="768" width="9.05078125" style="27"/>
    <col min="769" max="769" width="8" style="27" customWidth="1"/>
    <col min="770" max="770" width="13.9453125" style="27" customWidth="1"/>
    <col min="771" max="771" width="7.47265625" style="27" customWidth="1"/>
    <col min="772" max="772" width="7.3671875" style="27" customWidth="1"/>
    <col min="773" max="773" width="1.41796875" style="27" customWidth="1"/>
    <col min="774" max="774" width="1.9453125" style="27" customWidth="1"/>
    <col min="775" max="775" width="8" style="27" customWidth="1"/>
    <col min="776" max="776" width="11.68359375" style="27" customWidth="1"/>
    <col min="777" max="777" width="12.20703125" style="27" customWidth="1"/>
    <col min="778" max="778" width="10.26171875" style="27" customWidth="1"/>
    <col min="779" max="779" width="12.47265625" style="27" customWidth="1"/>
    <col min="780" max="780" width="7.89453125" style="27" customWidth="1"/>
    <col min="781" max="781" width="13.26171875" style="27" customWidth="1"/>
    <col min="782" max="782" width="19.83984375" style="27" customWidth="1"/>
    <col min="783" max="1024" width="9.05078125" style="27"/>
    <col min="1025" max="1025" width="8" style="27" customWidth="1"/>
    <col min="1026" max="1026" width="13.9453125" style="27" customWidth="1"/>
    <col min="1027" max="1027" width="7.47265625" style="27" customWidth="1"/>
    <col min="1028" max="1028" width="7.3671875" style="27" customWidth="1"/>
    <col min="1029" max="1029" width="1.41796875" style="27" customWidth="1"/>
    <col min="1030" max="1030" width="1.9453125" style="27" customWidth="1"/>
    <col min="1031" max="1031" width="8" style="27" customWidth="1"/>
    <col min="1032" max="1032" width="11.68359375" style="27" customWidth="1"/>
    <col min="1033" max="1033" width="12.20703125" style="27" customWidth="1"/>
    <col min="1034" max="1034" width="10.26171875" style="27" customWidth="1"/>
    <col min="1035" max="1035" width="12.47265625" style="27" customWidth="1"/>
    <col min="1036" max="1036" width="7.89453125" style="27" customWidth="1"/>
    <col min="1037" max="1037" width="13.26171875" style="27" customWidth="1"/>
    <col min="1038" max="1038" width="19.83984375" style="27" customWidth="1"/>
    <col min="1039" max="1280" width="9.05078125" style="27"/>
    <col min="1281" max="1281" width="8" style="27" customWidth="1"/>
    <col min="1282" max="1282" width="13.9453125" style="27" customWidth="1"/>
    <col min="1283" max="1283" width="7.47265625" style="27" customWidth="1"/>
    <col min="1284" max="1284" width="7.3671875" style="27" customWidth="1"/>
    <col min="1285" max="1285" width="1.41796875" style="27" customWidth="1"/>
    <col min="1286" max="1286" width="1.9453125" style="27" customWidth="1"/>
    <col min="1287" max="1287" width="8" style="27" customWidth="1"/>
    <col min="1288" max="1288" width="11.68359375" style="27" customWidth="1"/>
    <col min="1289" max="1289" width="12.20703125" style="27" customWidth="1"/>
    <col min="1290" max="1290" width="10.26171875" style="27" customWidth="1"/>
    <col min="1291" max="1291" width="12.47265625" style="27" customWidth="1"/>
    <col min="1292" max="1292" width="7.89453125" style="27" customWidth="1"/>
    <col min="1293" max="1293" width="13.26171875" style="27" customWidth="1"/>
    <col min="1294" max="1294" width="19.83984375" style="27" customWidth="1"/>
    <col min="1295" max="1536" width="9.05078125" style="27"/>
    <col min="1537" max="1537" width="8" style="27" customWidth="1"/>
    <col min="1538" max="1538" width="13.9453125" style="27" customWidth="1"/>
    <col min="1539" max="1539" width="7.47265625" style="27" customWidth="1"/>
    <col min="1540" max="1540" width="7.3671875" style="27" customWidth="1"/>
    <col min="1541" max="1541" width="1.41796875" style="27" customWidth="1"/>
    <col min="1542" max="1542" width="1.9453125" style="27" customWidth="1"/>
    <col min="1543" max="1543" width="8" style="27" customWidth="1"/>
    <col min="1544" max="1544" width="11.68359375" style="27" customWidth="1"/>
    <col min="1545" max="1545" width="12.20703125" style="27" customWidth="1"/>
    <col min="1546" max="1546" width="10.26171875" style="27" customWidth="1"/>
    <col min="1547" max="1547" width="12.47265625" style="27" customWidth="1"/>
    <col min="1548" max="1548" width="7.89453125" style="27" customWidth="1"/>
    <col min="1549" max="1549" width="13.26171875" style="27" customWidth="1"/>
    <col min="1550" max="1550" width="19.83984375" style="27" customWidth="1"/>
    <col min="1551" max="1792" width="9.05078125" style="27"/>
    <col min="1793" max="1793" width="8" style="27" customWidth="1"/>
    <col min="1794" max="1794" width="13.9453125" style="27" customWidth="1"/>
    <col min="1795" max="1795" width="7.47265625" style="27" customWidth="1"/>
    <col min="1796" max="1796" width="7.3671875" style="27" customWidth="1"/>
    <col min="1797" max="1797" width="1.41796875" style="27" customWidth="1"/>
    <col min="1798" max="1798" width="1.9453125" style="27" customWidth="1"/>
    <col min="1799" max="1799" width="8" style="27" customWidth="1"/>
    <col min="1800" max="1800" width="11.68359375" style="27" customWidth="1"/>
    <col min="1801" max="1801" width="12.20703125" style="27" customWidth="1"/>
    <col min="1802" max="1802" width="10.26171875" style="27" customWidth="1"/>
    <col min="1803" max="1803" width="12.47265625" style="27" customWidth="1"/>
    <col min="1804" max="1804" width="7.89453125" style="27" customWidth="1"/>
    <col min="1805" max="1805" width="13.26171875" style="27" customWidth="1"/>
    <col min="1806" max="1806" width="19.83984375" style="27" customWidth="1"/>
    <col min="1807" max="2048" width="9.05078125" style="27"/>
    <col min="2049" max="2049" width="8" style="27" customWidth="1"/>
    <col min="2050" max="2050" width="13.9453125" style="27" customWidth="1"/>
    <col min="2051" max="2051" width="7.47265625" style="27" customWidth="1"/>
    <col min="2052" max="2052" width="7.3671875" style="27" customWidth="1"/>
    <col min="2053" max="2053" width="1.41796875" style="27" customWidth="1"/>
    <col min="2054" max="2054" width="1.9453125" style="27" customWidth="1"/>
    <col min="2055" max="2055" width="8" style="27" customWidth="1"/>
    <col min="2056" max="2056" width="11.68359375" style="27" customWidth="1"/>
    <col min="2057" max="2057" width="12.20703125" style="27" customWidth="1"/>
    <col min="2058" max="2058" width="10.26171875" style="27" customWidth="1"/>
    <col min="2059" max="2059" width="12.47265625" style="27" customWidth="1"/>
    <col min="2060" max="2060" width="7.89453125" style="27" customWidth="1"/>
    <col min="2061" max="2061" width="13.26171875" style="27" customWidth="1"/>
    <col min="2062" max="2062" width="19.83984375" style="27" customWidth="1"/>
    <col min="2063" max="2304" width="9.05078125" style="27"/>
    <col min="2305" max="2305" width="8" style="27" customWidth="1"/>
    <col min="2306" max="2306" width="13.9453125" style="27" customWidth="1"/>
    <col min="2307" max="2307" width="7.47265625" style="27" customWidth="1"/>
    <col min="2308" max="2308" width="7.3671875" style="27" customWidth="1"/>
    <col min="2309" max="2309" width="1.41796875" style="27" customWidth="1"/>
    <col min="2310" max="2310" width="1.9453125" style="27" customWidth="1"/>
    <col min="2311" max="2311" width="8" style="27" customWidth="1"/>
    <col min="2312" max="2312" width="11.68359375" style="27" customWidth="1"/>
    <col min="2313" max="2313" width="12.20703125" style="27" customWidth="1"/>
    <col min="2314" max="2314" width="10.26171875" style="27" customWidth="1"/>
    <col min="2315" max="2315" width="12.47265625" style="27" customWidth="1"/>
    <col min="2316" max="2316" width="7.89453125" style="27" customWidth="1"/>
    <col min="2317" max="2317" width="13.26171875" style="27" customWidth="1"/>
    <col min="2318" max="2318" width="19.83984375" style="27" customWidth="1"/>
    <col min="2319" max="2560" width="9.05078125" style="27"/>
    <col min="2561" max="2561" width="8" style="27" customWidth="1"/>
    <col min="2562" max="2562" width="13.9453125" style="27" customWidth="1"/>
    <col min="2563" max="2563" width="7.47265625" style="27" customWidth="1"/>
    <col min="2564" max="2564" width="7.3671875" style="27" customWidth="1"/>
    <col min="2565" max="2565" width="1.41796875" style="27" customWidth="1"/>
    <col min="2566" max="2566" width="1.9453125" style="27" customWidth="1"/>
    <col min="2567" max="2567" width="8" style="27" customWidth="1"/>
    <col min="2568" max="2568" width="11.68359375" style="27" customWidth="1"/>
    <col min="2569" max="2569" width="12.20703125" style="27" customWidth="1"/>
    <col min="2570" max="2570" width="10.26171875" style="27" customWidth="1"/>
    <col min="2571" max="2571" width="12.47265625" style="27" customWidth="1"/>
    <col min="2572" max="2572" width="7.89453125" style="27" customWidth="1"/>
    <col min="2573" max="2573" width="13.26171875" style="27" customWidth="1"/>
    <col min="2574" max="2574" width="19.83984375" style="27" customWidth="1"/>
    <col min="2575" max="2816" width="9.05078125" style="27"/>
    <col min="2817" max="2817" width="8" style="27" customWidth="1"/>
    <col min="2818" max="2818" width="13.9453125" style="27" customWidth="1"/>
    <col min="2819" max="2819" width="7.47265625" style="27" customWidth="1"/>
    <col min="2820" max="2820" width="7.3671875" style="27" customWidth="1"/>
    <col min="2821" max="2821" width="1.41796875" style="27" customWidth="1"/>
    <col min="2822" max="2822" width="1.9453125" style="27" customWidth="1"/>
    <col min="2823" max="2823" width="8" style="27" customWidth="1"/>
    <col min="2824" max="2824" width="11.68359375" style="27" customWidth="1"/>
    <col min="2825" max="2825" width="12.20703125" style="27" customWidth="1"/>
    <col min="2826" max="2826" width="10.26171875" style="27" customWidth="1"/>
    <col min="2827" max="2827" width="12.47265625" style="27" customWidth="1"/>
    <col min="2828" max="2828" width="7.89453125" style="27" customWidth="1"/>
    <col min="2829" max="2829" width="13.26171875" style="27" customWidth="1"/>
    <col min="2830" max="2830" width="19.83984375" style="27" customWidth="1"/>
    <col min="2831" max="3072" width="9.05078125" style="27"/>
    <col min="3073" max="3073" width="8" style="27" customWidth="1"/>
    <col min="3074" max="3074" width="13.9453125" style="27" customWidth="1"/>
    <col min="3075" max="3075" width="7.47265625" style="27" customWidth="1"/>
    <col min="3076" max="3076" width="7.3671875" style="27" customWidth="1"/>
    <col min="3077" max="3077" width="1.41796875" style="27" customWidth="1"/>
    <col min="3078" max="3078" width="1.9453125" style="27" customWidth="1"/>
    <col min="3079" max="3079" width="8" style="27" customWidth="1"/>
    <col min="3080" max="3080" width="11.68359375" style="27" customWidth="1"/>
    <col min="3081" max="3081" width="12.20703125" style="27" customWidth="1"/>
    <col min="3082" max="3082" width="10.26171875" style="27" customWidth="1"/>
    <col min="3083" max="3083" width="12.47265625" style="27" customWidth="1"/>
    <col min="3084" max="3084" width="7.89453125" style="27" customWidth="1"/>
    <col min="3085" max="3085" width="13.26171875" style="27" customWidth="1"/>
    <col min="3086" max="3086" width="19.83984375" style="27" customWidth="1"/>
    <col min="3087" max="3328" width="9.05078125" style="27"/>
    <col min="3329" max="3329" width="8" style="27" customWidth="1"/>
    <col min="3330" max="3330" width="13.9453125" style="27" customWidth="1"/>
    <col min="3331" max="3331" width="7.47265625" style="27" customWidth="1"/>
    <col min="3332" max="3332" width="7.3671875" style="27" customWidth="1"/>
    <col min="3333" max="3333" width="1.41796875" style="27" customWidth="1"/>
    <col min="3334" max="3334" width="1.9453125" style="27" customWidth="1"/>
    <col min="3335" max="3335" width="8" style="27" customWidth="1"/>
    <col min="3336" max="3336" width="11.68359375" style="27" customWidth="1"/>
    <col min="3337" max="3337" width="12.20703125" style="27" customWidth="1"/>
    <col min="3338" max="3338" width="10.26171875" style="27" customWidth="1"/>
    <col min="3339" max="3339" width="12.47265625" style="27" customWidth="1"/>
    <col min="3340" max="3340" width="7.89453125" style="27" customWidth="1"/>
    <col min="3341" max="3341" width="13.26171875" style="27" customWidth="1"/>
    <col min="3342" max="3342" width="19.83984375" style="27" customWidth="1"/>
    <col min="3343" max="3584" width="9.05078125" style="27"/>
    <col min="3585" max="3585" width="8" style="27" customWidth="1"/>
    <col min="3586" max="3586" width="13.9453125" style="27" customWidth="1"/>
    <col min="3587" max="3587" width="7.47265625" style="27" customWidth="1"/>
    <col min="3588" max="3588" width="7.3671875" style="27" customWidth="1"/>
    <col min="3589" max="3589" width="1.41796875" style="27" customWidth="1"/>
    <col min="3590" max="3590" width="1.9453125" style="27" customWidth="1"/>
    <col min="3591" max="3591" width="8" style="27" customWidth="1"/>
    <col min="3592" max="3592" width="11.68359375" style="27" customWidth="1"/>
    <col min="3593" max="3593" width="12.20703125" style="27" customWidth="1"/>
    <col min="3594" max="3594" width="10.26171875" style="27" customWidth="1"/>
    <col min="3595" max="3595" width="12.47265625" style="27" customWidth="1"/>
    <col min="3596" max="3596" width="7.89453125" style="27" customWidth="1"/>
    <col min="3597" max="3597" width="13.26171875" style="27" customWidth="1"/>
    <col min="3598" max="3598" width="19.83984375" style="27" customWidth="1"/>
    <col min="3599" max="3840" width="9.05078125" style="27"/>
    <col min="3841" max="3841" width="8" style="27" customWidth="1"/>
    <col min="3842" max="3842" width="13.9453125" style="27" customWidth="1"/>
    <col min="3843" max="3843" width="7.47265625" style="27" customWidth="1"/>
    <col min="3844" max="3844" width="7.3671875" style="27" customWidth="1"/>
    <col min="3845" max="3845" width="1.41796875" style="27" customWidth="1"/>
    <col min="3846" max="3846" width="1.9453125" style="27" customWidth="1"/>
    <col min="3847" max="3847" width="8" style="27" customWidth="1"/>
    <col min="3848" max="3848" width="11.68359375" style="27" customWidth="1"/>
    <col min="3849" max="3849" width="12.20703125" style="27" customWidth="1"/>
    <col min="3850" max="3850" width="10.26171875" style="27" customWidth="1"/>
    <col min="3851" max="3851" width="12.47265625" style="27" customWidth="1"/>
    <col min="3852" max="3852" width="7.89453125" style="27" customWidth="1"/>
    <col min="3853" max="3853" width="13.26171875" style="27" customWidth="1"/>
    <col min="3854" max="3854" width="19.83984375" style="27" customWidth="1"/>
    <col min="3855" max="4096" width="9.05078125" style="27"/>
    <col min="4097" max="4097" width="8" style="27" customWidth="1"/>
    <col min="4098" max="4098" width="13.9453125" style="27" customWidth="1"/>
    <col min="4099" max="4099" width="7.47265625" style="27" customWidth="1"/>
    <col min="4100" max="4100" width="7.3671875" style="27" customWidth="1"/>
    <col min="4101" max="4101" width="1.41796875" style="27" customWidth="1"/>
    <col min="4102" max="4102" width="1.9453125" style="27" customWidth="1"/>
    <col min="4103" max="4103" width="8" style="27" customWidth="1"/>
    <col min="4104" max="4104" width="11.68359375" style="27" customWidth="1"/>
    <col min="4105" max="4105" width="12.20703125" style="27" customWidth="1"/>
    <col min="4106" max="4106" width="10.26171875" style="27" customWidth="1"/>
    <col min="4107" max="4107" width="12.47265625" style="27" customWidth="1"/>
    <col min="4108" max="4108" width="7.89453125" style="27" customWidth="1"/>
    <col min="4109" max="4109" width="13.26171875" style="27" customWidth="1"/>
    <col min="4110" max="4110" width="19.83984375" style="27" customWidth="1"/>
    <col min="4111" max="4352" width="9.05078125" style="27"/>
    <col min="4353" max="4353" width="8" style="27" customWidth="1"/>
    <col min="4354" max="4354" width="13.9453125" style="27" customWidth="1"/>
    <col min="4355" max="4355" width="7.47265625" style="27" customWidth="1"/>
    <col min="4356" max="4356" width="7.3671875" style="27" customWidth="1"/>
    <col min="4357" max="4357" width="1.41796875" style="27" customWidth="1"/>
    <col min="4358" max="4358" width="1.9453125" style="27" customWidth="1"/>
    <col min="4359" max="4359" width="8" style="27" customWidth="1"/>
    <col min="4360" max="4360" width="11.68359375" style="27" customWidth="1"/>
    <col min="4361" max="4361" width="12.20703125" style="27" customWidth="1"/>
    <col min="4362" max="4362" width="10.26171875" style="27" customWidth="1"/>
    <col min="4363" max="4363" width="12.47265625" style="27" customWidth="1"/>
    <col min="4364" max="4364" width="7.89453125" style="27" customWidth="1"/>
    <col min="4365" max="4365" width="13.26171875" style="27" customWidth="1"/>
    <col min="4366" max="4366" width="19.83984375" style="27" customWidth="1"/>
    <col min="4367" max="4608" width="9.05078125" style="27"/>
    <col min="4609" max="4609" width="8" style="27" customWidth="1"/>
    <col min="4610" max="4610" width="13.9453125" style="27" customWidth="1"/>
    <col min="4611" max="4611" width="7.47265625" style="27" customWidth="1"/>
    <col min="4612" max="4612" width="7.3671875" style="27" customWidth="1"/>
    <col min="4613" max="4613" width="1.41796875" style="27" customWidth="1"/>
    <col min="4614" max="4614" width="1.9453125" style="27" customWidth="1"/>
    <col min="4615" max="4615" width="8" style="27" customWidth="1"/>
    <col min="4616" max="4616" width="11.68359375" style="27" customWidth="1"/>
    <col min="4617" max="4617" width="12.20703125" style="27" customWidth="1"/>
    <col min="4618" max="4618" width="10.26171875" style="27" customWidth="1"/>
    <col min="4619" max="4619" width="12.47265625" style="27" customWidth="1"/>
    <col min="4620" max="4620" width="7.89453125" style="27" customWidth="1"/>
    <col min="4621" max="4621" width="13.26171875" style="27" customWidth="1"/>
    <col min="4622" max="4622" width="19.83984375" style="27" customWidth="1"/>
    <col min="4623" max="4864" width="9.05078125" style="27"/>
    <col min="4865" max="4865" width="8" style="27" customWidth="1"/>
    <col min="4866" max="4866" width="13.9453125" style="27" customWidth="1"/>
    <col min="4867" max="4867" width="7.47265625" style="27" customWidth="1"/>
    <col min="4868" max="4868" width="7.3671875" style="27" customWidth="1"/>
    <col min="4869" max="4869" width="1.41796875" style="27" customWidth="1"/>
    <col min="4870" max="4870" width="1.9453125" style="27" customWidth="1"/>
    <col min="4871" max="4871" width="8" style="27" customWidth="1"/>
    <col min="4872" max="4872" width="11.68359375" style="27" customWidth="1"/>
    <col min="4873" max="4873" width="12.20703125" style="27" customWidth="1"/>
    <col min="4874" max="4874" width="10.26171875" style="27" customWidth="1"/>
    <col min="4875" max="4875" width="12.47265625" style="27" customWidth="1"/>
    <col min="4876" max="4876" width="7.89453125" style="27" customWidth="1"/>
    <col min="4877" max="4877" width="13.26171875" style="27" customWidth="1"/>
    <col min="4878" max="4878" width="19.83984375" style="27" customWidth="1"/>
    <col min="4879" max="5120" width="9.05078125" style="27"/>
    <col min="5121" max="5121" width="8" style="27" customWidth="1"/>
    <col min="5122" max="5122" width="13.9453125" style="27" customWidth="1"/>
    <col min="5123" max="5123" width="7.47265625" style="27" customWidth="1"/>
    <col min="5124" max="5124" width="7.3671875" style="27" customWidth="1"/>
    <col min="5125" max="5125" width="1.41796875" style="27" customWidth="1"/>
    <col min="5126" max="5126" width="1.9453125" style="27" customWidth="1"/>
    <col min="5127" max="5127" width="8" style="27" customWidth="1"/>
    <col min="5128" max="5128" width="11.68359375" style="27" customWidth="1"/>
    <col min="5129" max="5129" width="12.20703125" style="27" customWidth="1"/>
    <col min="5130" max="5130" width="10.26171875" style="27" customWidth="1"/>
    <col min="5131" max="5131" width="12.47265625" style="27" customWidth="1"/>
    <col min="5132" max="5132" width="7.89453125" style="27" customWidth="1"/>
    <col min="5133" max="5133" width="13.26171875" style="27" customWidth="1"/>
    <col min="5134" max="5134" width="19.83984375" style="27" customWidth="1"/>
    <col min="5135" max="5376" width="9.05078125" style="27"/>
    <col min="5377" max="5377" width="8" style="27" customWidth="1"/>
    <col min="5378" max="5378" width="13.9453125" style="27" customWidth="1"/>
    <col min="5379" max="5379" width="7.47265625" style="27" customWidth="1"/>
    <col min="5380" max="5380" width="7.3671875" style="27" customWidth="1"/>
    <col min="5381" max="5381" width="1.41796875" style="27" customWidth="1"/>
    <col min="5382" max="5382" width="1.9453125" style="27" customWidth="1"/>
    <col min="5383" max="5383" width="8" style="27" customWidth="1"/>
    <col min="5384" max="5384" width="11.68359375" style="27" customWidth="1"/>
    <col min="5385" max="5385" width="12.20703125" style="27" customWidth="1"/>
    <col min="5386" max="5386" width="10.26171875" style="27" customWidth="1"/>
    <col min="5387" max="5387" width="12.47265625" style="27" customWidth="1"/>
    <col min="5388" max="5388" width="7.89453125" style="27" customWidth="1"/>
    <col min="5389" max="5389" width="13.26171875" style="27" customWidth="1"/>
    <col min="5390" max="5390" width="19.83984375" style="27" customWidth="1"/>
    <col min="5391" max="5632" width="9.05078125" style="27"/>
    <col min="5633" max="5633" width="8" style="27" customWidth="1"/>
    <col min="5634" max="5634" width="13.9453125" style="27" customWidth="1"/>
    <col min="5635" max="5635" width="7.47265625" style="27" customWidth="1"/>
    <col min="5636" max="5636" width="7.3671875" style="27" customWidth="1"/>
    <col min="5637" max="5637" width="1.41796875" style="27" customWidth="1"/>
    <col min="5638" max="5638" width="1.9453125" style="27" customWidth="1"/>
    <col min="5639" max="5639" width="8" style="27" customWidth="1"/>
    <col min="5640" max="5640" width="11.68359375" style="27" customWidth="1"/>
    <col min="5641" max="5641" width="12.20703125" style="27" customWidth="1"/>
    <col min="5642" max="5642" width="10.26171875" style="27" customWidth="1"/>
    <col min="5643" max="5643" width="12.47265625" style="27" customWidth="1"/>
    <col min="5644" max="5644" width="7.89453125" style="27" customWidth="1"/>
    <col min="5645" max="5645" width="13.26171875" style="27" customWidth="1"/>
    <col min="5646" max="5646" width="19.83984375" style="27" customWidth="1"/>
    <col min="5647" max="5888" width="9.05078125" style="27"/>
    <col min="5889" max="5889" width="8" style="27" customWidth="1"/>
    <col min="5890" max="5890" width="13.9453125" style="27" customWidth="1"/>
    <col min="5891" max="5891" width="7.47265625" style="27" customWidth="1"/>
    <col min="5892" max="5892" width="7.3671875" style="27" customWidth="1"/>
    <col min="5893" max="5893" width="1.41796875" style="27" customWidth="1"/>
    <col min="5894" max="5894" width="1.9453125" style="27" customWidth="1"/>
    <col min="5895" max="5895" width="8" style="27" customWidth="1"/>
    <col min="5896" max="5896" width="11.68359375" style="27" customWidth="1"/>
    <col min="5897" max="5897" width="12.20703125" style="27" customWidth="1"/>
    <col min="5898" max="5898" width="10.26171875" style="27" customWidth="1"/>
    <col min="5899" max="5899" width="12.47265625" style="27" customWidth="1"/>
    <col min="5900" max="5900" width="7.89453125" style="27" customWidth="1"/>
    <col min="5901" max="5901" width="13.26171875" style="27" customWidth="1"/>
    <col min="5902" max="5902" width="19.83984375" style="27" customWidth="1"/>
    <col min="5903" max="6144" width="9.05078125" style="27"/>
    <col min="6145" max="6145" width="8" style="27" customWidth="1"/>
    <col min="6146" max="6146" width="13.9453125" style="27" customWidth="1"/>
    <col min="6147" max="6147" width="7.47265625" style="27" customWidth="1"/>
    <col min="6148" max="6148" width="7.3671875" style="27" customWidth="1"/>
    <col min="6149" max="6149" width="1.41796875" style="27" customWidth="1"/>
    <col min="6150" max="6150" width="1.9453125" style="27" customWidth="1"/>
    <col min="6151" max="6151" width="8" style="27" customWidth="1"/>
    <col min="6152" max="6152" width="11.68359375" style="27" customWidth="1"/>
    <col min="6153" max="6153" width="12.20703125" style="27" customWidth="1"/>
    <col min="6154" max="6154" width="10.26171875" style="27" customWidth="1"/>
    <col min="6155" max="6155" width="12.47265625" style="27" customWidth="1"/>
    <col min="6156" max="6156" width="7.89453125" style="27" customWidth="1"/>
    <col min="6157" max="6157" width="13.26171875" style="27" customWidth="1"/>
    <col min="6158" max="6158" width="19.83984375" style="27" customWidth="1"/>
    <col min="6159" max="6400" width="9.05078125" style="27"/>
    <col min="6401" max="6401" width="8" style="27" customWidth="1"/>
    <col min="6402" max="6402" width="13.9453125" style="27" customWidth="1"/>
    <col min="6403" max="6403" width="7.47265625" style="27" customWidth="1"/>
    <col min="6404" max="6404" width="7.3671875" style="27" customWidth="1"/>
    <col min="6405" max="6405" width="1.41796875" style="27" customWidth="1"/>
    <col min="6406" max="6406" width="1.9453125" style="27" customWidth="1"/>
    <col min="6407" max="6407" width="8" style="27" customWidth="1"/>
    <col min="6408" max="6408" width="11.68359375" style="27" customWidth="1"/>
    <col min="6409" max="6409" width="12.20703125" style="27" customWidth="1"/>
    <col min="6410" max="6410" width="10.26171875" style="27" customWidth="1"/>
    <col min="6411" max="6411" width="12.47265625" style="27" customWidth="1"/>
    <col min="6412" max="6412" width="7.89453125" style="27" customWidth="1"/>
    <col min="6413" max="6413" width="13.26171875" style="27" customWidth="1"/>
    <col min="6414" max="6414" width="19.83984375" style="27" customWidth="1"/>
    <col min="6415" max="6656" width="9.05078125" style="27"/>
    <col min="6657" max="6657" width="8" style="27" customWidth="1"/>
    <col min="6658" max="6658" width="13.9453125" style="27" customWidth="1"/>
    <col min="6659" max="6659" width="7.47265625" style="27" customWidth="1"/>
    <col min="6660" max="6660" width="7.3671875" style="27" customWidth="1"/>
    <col min="6661" max="6661" width="1.41796875" style="27" customWidth="1"/>
    <col min="6662" max="6662" width="1.9453125" style="27" customWidth="1"/>
    <col min="6663" max="6663" width="8" style="27" customWidth="1"/>
    <col min="6664" max="6664" width="11.68359375" style="27" customWidth="1"/>
    <col min="6665" max="6665" width="12.20703125" style="27" customWidth="1"/>
    <col min="6666" max="6666" width="10.26171875" style="27" customWidth="1"/>
    <col min="6667" max="6667" width="12.47265625" style="27" customWidth="1"/>
    <col min="6668" max="6668" width="7.89453125" style="27" customWidth="1"/>
    <col min="6669" max="6669" width="13.26171875" style="27" customWidth="1"/>
    <col min="6670" max="6670" width="19.83984375" style="27" customWidth="1"/>
    <col min="6671" max="6912" width="9.05078125" style="27"/>
    <col min="6913" max="6913" width="8" style="27" customWidth="1"/>
    <col min="6914" max="6914" width="13.9453125" style="27" customWidth="1"/>
    <col min="6915" max="6915" width="7.47265625" style="27" customWidth="1"/>
    <col min="6916" max="6916" width="7.3671875" style="27" customWidth="1"/>
    <col min="6917" max="6917" width="1.41796875" style="27" customWidth="1"/>
    <col min="6918" max="6918" width="1.9453125" style="27" customWidth="1"/>
    <col min="6919" max="6919" width="8" style="27" customWidth="1"/>
    <col min="6920" max="6920" width="11.68359375" style="27" customWidth="1"/>
    <col min="6921" max="6921" width="12.20703125" style="27" customWidth="1"/>
    <col min="6922" max="6922" width="10.26171875" style="27" customWidth="1"/>
    <col min="6923" max="6923" width="12.47265625" style="27" customWidth="1"/>
    <col min="6924" max="6924" width="7.89453125" style="27" customWidth="1"/>
    <col min="6925" max="6925" width="13.26171875" style="27" customWidth="1"/>
    <col min="6926" max="6926" width="19.83984375" style="27" customWidth="1"/>
    <col min="6927" max="7168" width="9.05078125" style="27"/>
    <col min="7169" max="7169" width="8" style="27" customWidth="1"/>
    <col min="7170" max="7170" width="13.9453125" style="27" customWidth="1"/>
    <col min="7171" max="7171" width="7.47265625" style="27" customWidth="1"/>
    <col min="7172" max="7172" width="7.3671875" style="27" customWidth="1"/>
    <col min="7173" max="7173" width="1.41796875" style="27" customWidth="1"/>
    <col min="7174" max="7174" width="1.9453125" style="27" customWidth="1"/>
    <col min="7175" max="7175" width="8" style="27" customWidth="1"/>
    <col min="7176" max="7176" width="11.68359375" style="27" customWidth="1"/>
    <col min="7177" max="7177" width="12.20703125" style="27" customWidth="1"/>
    <col min="7178" max="7178" width="10.26171875" style="27" customWidth="1"/>
    <col min="7179" max="7179" width="12.47265625" style="27" customWidth="1"/>
    <col min="7180" max="7180" width="7.89453125" style="27" customWidth="1"/>
    <col min="7181" max="7181" width="13.26171875" style="27" customWidth="1"/>
    <col min="7182" max="7182" width="19.83984375" style="27" customWidth="1"/>
    <col min="7183" max="7424" width="9.05078125" style="27"/>
    <col min="7425" max="7425" width="8" style="27" customWidth="1"/>
    <col min="7426" max="7426" width="13.9453125" style="27" customWidth="1"/>
    <col min="7427" max="7427" width="7.47265625" style="27" customWidth="1"/>
    <col min="7428" max="7428" width="7.3671875" style="27" customWidth="1"/>
    <col min="7429" max="7429" width="1.41796875" style="27" customWidth="1"/>
    <col min="7430" max="7430" width="1.9453125" style="27" customWidth="1"/>
    <col min="7431" max="7431" width="8" style="27" customWidth="1"/>
    <col min="7432" max="7432" width="11.68359375" style="27" customWidth="1"/>
    <col min="7433" max="7433" width="12.20703125" style="27" customWidth="1"/>
    <col min="7434" max="7434" width="10.26171875" style="27" customWidth="1"/>
    <col min="7435" max="7435" width="12.47265625" style="27" customWidth="1"/>
    <col min="7436" max="7436" width="7.89453125" style="27" customWidth="1"/>
    <col min="7437" max="7437" width="13.26171875" style="27" customWidth="1"/>
    <col min="7438" max="7438" width="19.83984375" style="27" customWidth="1"/>
    <col min="7439" max="7680" width="9.05078125" style="27"/>
    <col min="7681" max="7681" width="8" style="27" customWidth="1"/>
    <col min="7682" max="7682" width="13.9453125" style="27" customWidth="1"/>
    <col min="7683" max="7683" width="7.47265625" style="27" customWidth="1"/>
    <col min="7684" max="7684" width="7.3671875" style="27" customWidth="1"/>
    <col min="7685" max="7685" width="1.41796875" style="27" customWidth="1"/>
    <col min="7686" max="7686" width="1.9453125" style="27" customWidth="1"/>
    <col min="7687" max="7687" width="8" style="27" customWidth="1"/>
    <col min="7688" max="7688" width="11.68359375" style="27" customWidth="1"/>
    <col min="7689" max="7689" width="12.20703125" style="27" customWidth="1"/>
    <col min="7690" max="7690" width="10.26171875" style="27" customWidth="1"/>
    <col min="7691" max="7691" width="12.47265625" style="27" customWidth="1"/>
    <col min="7692" max="7692" width="7.89453125" style="27" customWidth="1"/>
    <col min="7693" max="7693" width="13.26171875" style="27" customWidth="1"/>
    <col min="7694" max="7694" width="19.83984375" style="27" customWidth="1"/>
    <col min="7695" max="7936" width="9.05078125" style="27"/>
    <col min="7937" max="7937" width="8" style="27" customWidth="1"/>
    <col min="7938" max="7938" width="13.9453125" style="27" customWidth="1"/>
    <col min="7939" max="7939" width="7.47265625" style="27" customWidth="1"/>
    <col min="7940" max="7940" width="7.3671875" style="27" customWidth="1"/>
    <col min="7941" max="7941" width="1.41796875" style="27" customWidth="1"/>
    <col min="7942" max="7942" width="1.9453125" style="27" customWidth="1"/>
    <col min="7943" max="7943" width="8" style="27" customWidth="1"/>
    <col min="7944" max="7944" width="11.68359375" style="27" customWidth="1"/>
    <col min="7945" max="7945" width="12.20703125" style="27" customWidth="1"/>
    <col min="7946" max="7946" width="10.26171875" style="27" customWidth="1"/>
    <col min="7947" max="7947" width="12.47265625" style="27" customWidth="1"/>
    <col min="7948" max="7948" width="7.89453125" style="27" customWidth="1"/>
    <col min="7949" max="7949" width="13.26171875" style="27" customWidth="1"/>
    <col min="7950" max="7950" width="19.83984375" style="27" customWidth="1"/>
    <col min="7951" max="8192" width="9.05078125" style="27"/>
    <col min="8193" max="8193" width="8" style="27" customWidth="1"/>
    <col min="8194" max="8194" width="13.9453125" style="27" customWidth="1"/>
    <col min="8195" max="8195" width="7.47265625" style="27" customWidth="1"/>
    <col min="8196" max="8196" width="7.3671875" style="27" customWidth="1"/>
    <col min="8197" max="8197" width="1.41796875" style="27" customWidth="1"/>
    <col min="8198" max="8198" width="1.9453125" style="27" customWidth="1"/>
    <col min="8199" max="8199" width="8" style="27" customWidth="1"/>
    <col min="8200" max="8200" width="11.68359375" style="27" customWidth="1"/>
    <col min="8201" max="8201" width="12.20703125" style="27" customWidth="1"/>
    <col min="8202" max="8202" width="10.26171875" style="27" customWidth="1"/>
    <col min="8203" max="8203" width="12.47265625" style="27" customWidth="1"/>
    <col min="8204" max="8204" width="7.89453125" style="27" customWidth="1"/>
    <col min="8205" max="8205" width="13.26171875" style="27" customWidth="1"/>
    <col min="8206" max="8206" width="19.83984375" style="27" customWidth="1"/>
    <col min="8207" max="8448" width="9.05078125" style="27"/>
    <col min="8449" max="8449" width="8" style="27" customWidth="1"/>
    <col min="8450" max="8450" width="13.9453125" style="27" customWidth="1"/>
    <col min="8451" max="8451" width="7.47265625" style="27" customWidth="1"/>
    <col min="8452" max="8452" width="7.3671875" style="27" customWidth="1"/>
    <col min="8453" max="8453" width="1.41796875" style="27" customWidth="1"/>
    <col min="8454" max="8454" width="1.9453125" style="27" customWidth="1"/>
    <col min="8455" max="8455" width="8" style="27" customWidth="1"/>
    <col min="8456" max="8456" width="11.68359375" style="27" customWidth="1"/>
    <col min="8457" max="8457" width="12.20703125" style="27" customWidth="1"/>
    <col min="8458" max="8458" width="10.26171875" style="27" customWidth="1"/>
    <col min="8459" max="8459" width="12.47265625" style="27" customWidth="1"/>
    <col min="8460" max="8460" width="7.89453125" style="27" customWidth="1"/>
    <col min="8461" max="8461" width="13.26171875" style="27" customWidth="1"/>
    <col min="8462" max="8462" width="19.83984375" style="27" customWidth="1"/>
    <col min="8463" max="8704" width="9.05078125" style="27"/>
    <col min="8705" max="8705" width="8" style="27" customWidth="1"/>
    <col min="8706" max="8706" width="13.9453125" style="27" customWidth="1"/>
    <col min="8707" max="8707" width="7.47265625" style="27" customWidth="1"/>
    <col min="8708" max="8708" width="7.3671875" style="27" customWidth="1"/>
    <col min="8709" max="8709" width="1.41796875" style="27" customWidth="1"/>
    <col min="8710" max="8710" width="1.9453125" style="27" customWidth="1"/>
    <col min="8711" max="8711" width="8" style="27" customWidth="1"/>
    <col min="8712" max="8712" width="11.68359375" style="27" customWidth="1"/>
    <col min="8713" max="8713" width="12.20703125" style="27" customWidth="1"/>
    <col min="8714" max="8714" width="10.26171875" style="27" customWidth="1"/>
    <col min="8715" max="8715" width="12.47265625" style="27" customWidth="1"/>
    <col min="8716" max="8716" width="7.89453125" style="27" customWidth="1"/>
    <col min="8717" max="8717" width="13.26171875" style="27" customWidth="1"/>
    <col min="8718" max="8718" width="19.83984375" style="27" customWidth="1"/>
    <col min="8719" max="8960" width="9.05078125" style="27"/>
    <col min="8961" max="8961" width="8" style="27" customWidth="1"/>
    <col min="8962" max="8962" width="13.9453125" style="27" customWidth="1"/>
    <col min="8963" max="8963" width="7.47265625" style="27" customWidth="1"/>
    <col min="8964" max="8964" width="7.3671875" style="27" customWidth="1"/>
    <col min="8965" max="8965" width="1.41796875" style="27" customWidth="1"/>
    <col min="8966" max="8966" width="1.9453125" style="27" customWidth="1"/>
    <col min="8967" max="8967" width="8" style="27" customWidth="1"/>
    <col min="8968" max="8968" width="11.68359375" style="27" customWidth="1"/>
    <col min="8969" max="8969" width="12.20703125" style="27" customWidth="1"/>
    <col min="8970" max="8970" width="10.26171875" style="27" customWidth="1"/>
    <col min="8971" max="8971" width="12.47265625" style="27" customWidth="1"/>
    <col min="8972" max="8972" width="7.89453125" style="27" customWidth="1"/>
    <col min="8973" max="8973" width="13.26171875" style="27" customWidth="1"/>
    <col min="8974" max="8974" width="19.83984375" style="27" customWidth="1"/>
    <col min="8975" max="9216" width="9.05078125" style="27"/>
    <col min="9217" max="9217" width="8" style="27" customWidth="1"/>
    <col min="9218" max="9218" width="13.9453125" style="27" customWidth="1"/>
    <col min="9219" max="9219" width="7.47265625" style="27" customWidth="1"/>
    <col min="9220" max="9220" width="7.3671875" style="27" customWidth="1"/>
    <col min="9221" max="9221" width="1.41796875" style="27" customWidth="1"/>
    <col min="9222" max="9222" width="1.9453125" style="27" customWidth="1"/>
    <col min="9223" max="9223" width="8" style="27" customWidth="1"/>
    <col min="9224" max="9224" width="11.68359375" style="27" customWidth="1"/>
    <col min="9225" max="9225" width="12.20703125" style="27" customWidth="1"/>
    <col min="9226" max="9226" width="10.26171875" style="27" customWidth="1"/>
    <col min="9227" max="9227" width="12.47265625" style="27" customWidth="1"/>
    <col min="9228" max="9228" width="7.89453125" style="27" customWidth="1"/>
    <col min="9229" max="9229" width="13.26171875" style="27" customWidth="1"/>
    <col min="9230" max="9230" width="19.83984375" style="27" customWidth="1"/>
    <col min="9231" max="9472" width="9.05078125" style="27"/>
    <col min="9473" max="9473" width="8" style="27" customWidth="1"/>
    <col min="9474" max="9474" width="13.9453125" style="27" customWidth="1"/>
    <col min="9475" max="9475" width="7.47265625" style="27" customWidth="1"/>
    <col min="9476" max="9476" width="7.3671875" style="27" customWidth="1"/>
    <col min="9477" max="9477" width="1.41796875" style="27" customWidth="1"/>
    <col min="9478" max="9478" width="1.9453125" style="27" customWidth="1"/>
    <col min="9479" max="9479" width="8" style="27" customWidth="1"/>
    <col min="9480" max="9480" width="11.68359375" style="27" customWidth="1"/>
    <col min="9481" max="9481" width="12.20703125" style="27" customWidth="1"/>
    <col min="9482" max="9482" width="10.26171875" style="27" customWidth="1"/>
    <col min="9483" max="9483" width="12.47265625" style="27" customWidth="1"/>
    <col min="9484" max="9484" width="7.89453125" style="27" customWidth="1"/>
    <col min="9485" max="9485" width="13.26171875" style="27" customWidth="1"/>
    <col min="9486" max="9486" width="19.83984375" style="27" customWidth="1"/>
    <col min="9487" max="9728" width="9.05078125" style="27"/>
    <col min="9729" max="9729" width="8" style="27" customWidth="1"/>
    <col min="9730" max="9730" width="13.9453125" style="27" customWidth="1"/>
    <col min="9731" max="9731" width="7.47265625" style="27" customWidth="1"/>
    <col min="9732" max="9732" width="7.3671875" style="27" customWidth="1"/>
    <col min="9733" max="9733" width="1.41796875" style="27" customWidth="1"/>
    <col min="9734" max="9734" width="1.9453125" style="27" customWidth="1"/>
    <col min="9735" max="9735" width="8" style="27" customWidth="1"/>
    <col min="9736" max="9736" width="11.68359375" style="27" customWidth="1"/>
    <col min="9737" max="9737" width="12.20703125" style="27" customWidth="1"/>
    <col min="9738" max="9738" width="10.26171875" style="27" customWidth="1"/>
    <col min="9739" max="9739" width="12.47265625" style="27" customWidth="1"/>
    <col min="9740" max="9740" width="7.89453125" style="27" customWidth="1"/>
    <col min="9741" max="9741" width="13.26171875" style="27" customWidth="1"/>
    <col min="9742" max="9742" width="19.83984375" style="27" customWidth="1"/>
    <col min="9743" max="9984" width="9.05078125" style="27"/>
    <col min="9985" max="9985" width="8" style="27" customWidth="1"/>
    <col min="9986" max="9986" width="13.9453125" style="27" customWidth="1"/>
    <col min="9987" max="9987" width="7.47265625" style="27" customWidth="1"/>
    <col min="9988" max="9988" width="7.3671875" style="27" customWidth="1"/>
    <col min="9989" max="9989" width="1.41796875" style="27" customWidth="1"/>
    <col min="9990" max="9990" width="1.9453125" style="27" customWidth="1"/>
    <col min="9991" max="9991" width="8" style="27" customWidth="1"/>
    <col min="9992" max="9992" width="11.68359375" style="27" customWidth="1"/>
    <col min="9993" max="9993" width="12.20703125" style="27" customWidth="1"/>
    <col min="9994" max="9994" width="10.26171875" style="27" customWidth="1"/>
    <col min="9995" max="9995" width="12.47265625" style="27" customWidth="1"/>
    <col min="9996" max="9996" width="7.89453125" style="27" customWidth="1"/>
    <col min="9997" max="9997" width="13.26171875" style="27" customWidth="1"/>
    <col min="9998" max="9998" width="19.83984375" style="27" customWidth="1"/>
    <col min="9999" max="10240" width="9.05078125" style="27"/>
    <col min="10241" max="10241" width="8" style="27" customWidth="1"/>
    <col min="10242" max="10242" width="13.9453125" style="27" customWidth="1"/>
    <col min="10243" max="10243" width="7.47265625" style="27" customWidth="1"/>
    <col min="10244" max="10244" width="7.3671875" style="27" customWidth="1"/>
    <col min="10245" max="10245" width="1.41796875" style="27" customWidth="1"/>
    <col min="10246" max="10246" width="1.9453125" style="27" customWidth="1"/>
    <col min="10247" max="10247" width="8" style="27" customWidth="1"/>
    <col min="10248" max="10248" width="11.68359375" style="27" customWidth="1"/>
    <col min="10249" max="10249" width="12.20703125" style="27" customWidth="1"/>
    <col min="10250" max="10250" width="10.26171875" style="27" customWidth="1"/>
    <col min="10251" max="10251" width="12.47265625" style="27" customWidth="1"/>
    <col min="10252" max="10252" width="7.89453125" style="27" customWidth="1"/>
    <col min="10253" max="10253" width="13.26171875" style="27" customWidth="1"/>
    <col min="10254" max="10254" width="19.83984375" style="27" customWidth="1"/>
    <col min="10255" max="10496" width="9.05078125" style="27"/>
    <col min="10497" max="10497" width="8" style="27" customWidth="1"/>
    <col min="10498" max="10498" width="13.9453125" style="27" customWidth="1"/>
    <col min="10499" max="10499" width="7.47265625" style="27" customWidth="1"/>
    <col min="10500" max="10500" width="7.3671875" style="27" customWidth="1"/>
    <col min="10501" max="10501" width="1.41796875" style="27" customWidth="1"/>
    <col min="10502" max="10502" width="1.9453125" style="27" customWidth="1"/>
    <col min="10503" max="10503" width="8" style="27" customWidth="1"/>
    <col min="10504" max="10504" width="11.68359375" style="27" customWidth="1"/>
    <col min="10505" max="10505" width="12.20703125" style="27" customWidth="1"/>
    <col min="10506" max="10506" width="10.26171875" style="27" customWidth="1"/>
    <col min="10507" max="10507" width="12.47265625" style="27" customWidth="1"/>
    <col min="10508" max="10508" width="7.89453125" style="27" customWidth="1"/>
    <col min="10509" max="10509" width="13.26171875" style="27" customWidth="1"/>
    <col min="10510" max="10510" width="19.83984375" style="27" customWidth="1"/>
    <col min="10511" max="10752" width="9.05078125" style="27"/>
    <col min="10753" max="10753" width="8" style="27" customWidth="1"/>
    <col min="10754" max="10754" width="13.9453125" style="27" customWidth="1"/>
    <col min="10755" max="10755" width="7.47265625" style="27" customWidth="1"/>
    <col min="10756" max="10756" width="7.3671875" style="27" customWidth="1"/>
    <col min="10757" max="10757" width="1.41796875" style="27" customWidth="1"/>
    <col min="10758" max="10758" width="1.9453125" style="27" customWidth="1"/>
    <col min="10759" max="10759" width="8" style="27" customWidth="1"/>
    <col min="10760" max="10760" width="11.68359375" style="27" customWidth="1"/>
    <col min="10761" max="10761" width="12.20703125" style="27" customWidth="1"/>
    <col min="10762" max="10762" width="10.26171875" style="27" customWidth="1"/>
    <col min="10763" max="10763" width="12.47265625" style="27" customWidth="1"/>
    <col min="10764" max="10764" width="7.89453125" style="27" customWidth="1"/>
    <col min="10765" max="10765" width="13.26171875" style="27" customWidth="1"/>
    <col min="10766" max="10766" width="19.83984375" style="27" customWidth="1"/>
    <col min="10767" max="11008" width="9.05078125" style="27"/>
    <col min="11009" max="11009" width="8" style="27" customWidth="1"/>
    <col min="11010" max="11010" width="13.9453125" style="27" customWidth="1"/>
    <col min="11011" max="11011" width="7.47265625" style="27" customWidth="1"/>
    <col min="11012" max="11012" width="7.3671875" style="27" customWidth="1"/>
    <col min="11013" max="11013" width="1.41796875" style="27" customWidth="1"/>
    <col min="11014" max="11014" width="1.9453125" style="27" customWidth="1"/>
    <col min="11015" max="11015" width="8" style="27" customWidth="1"/>
    <col min="11016" max="11016" width="11.68359375" style="27" customWidth="1"/>
    <col min="11017" max="11017" width="12.20703125" style="27" customWidth="1"/>
    <col min="11018" max="11018" width="10.26171875" style="27" customWidth="1"/>
    <col min="11019" max="11019" width="12.47265625" style="27" customWidth="1"/>
    <col min="11020" max="11020" width="7.89453125" style="27" customWidth="1"/>
    <col min="11021" max="11021" width="13.26171875" style="27" customWidth="1"/>
    <col min="11022" max="11022" width="19.83984375" style="27" customWidth="1"/>
    <col min="11023" max="11264" width="9.05078125" style="27"/>
    <col min="11265" max="11265" width="8" style="27" customWidth="1"/>
    <col min="11266" max="11266" width="13.9453125" style="27" customWidth="1"/>
    <col min="11267" max="11267" width="7.47265625" style="27" customWidth="1"/>
    <col min="11268" max="11268" width="7.3671875" style="27" customWidth="1"/>
    <col min="11269" max="11269" width="1.41796875" style="27" customWidth="1"/>
    <col min="11270" max="11270" width="1.9453125" style="27" customWidth="1"/>
    <col min="11271" max="11271" width="8" style="27" customWidth="1"/>
    <col min="11272" max="11272" width="11.68359375" style="27" customWidth="1"/>
    <col min="11273" max="11273" width="12.20703125" style="27" customWidth="1"/>
    <col min="11274" max="11274" width="10.26171875" style="27" customWidth="1"/>
    <col min="11275" max="11275" width="12.47265625" style="27" customWidth="1"/>
    <col min="11276" max="11276" width="7.89453125" style="27" customWidth="1"/>
    <col min="11277" max="11277" width="13.26171875" style="27" customWidth="1"/>
    <col min="11278" max="11278" width="19.83984375" style="27" customWidth="1"/>
    <col min="11279" max="11520" width="9.05078125" style="27"/>
    <col min="11521" max="11521" width="8" style="27" customWidth="1"/>
    <col min="11522" max="11522" width="13.9453125" style="27" customWidth="1"/>
    <col min="11523" max="11523" width="7.47265625" style="27" customWidth="1"/>
    <col min="11524" max="11524" width="7.3671875" style="27" customWidth="1"/>
    <col min="11525" max="11525" width="1.41796875" style="27" customWidth="1"/>
    <col min="11526" max="11526" width="1.9453125" style="27" customWidth="1"/>
    <col min="11527" max="11527" width="8" style="27" customWidth="1"/>
    <col min="11528" max="11528" width="11.68359375" style="27" customWidth="1"/>
    <col min="11529" max="11529" width="12.20703125" style="27" customWidth="1"/>
    <col min="11530" max="11530" width="10.26171875" style="27" customWidth="1"/>
    <col min="11531" max="11531" width="12.47265625" style="27" customWidth="1"/>
    <col min="11532" max="11532" width="7.89453125" style="27" customWidth="1"/>
    <col min="11533" max="11533" width="13.26171875" style="27" customWidth="1"/>
    <col min="11534" max="11534" width="19.83984375" style="27" customWidth="1"/>
    <col min="11535" max="11776" width="9.05078125" style="27"/>
    <col min="11777" max="11777" width="8" style="27" customWidth="1"/>
    <col min="11778" max="11778" width="13.9453125" style="27" customWidth="1"/>
    <col min="11779" max="11779" width="7.47265625" style="27" customWidth="1"/>
    <col min="11780" max="11780" width="7.3671875" style="27" customWidth="1"/>
    <col min="11781" max="11781" width="1.41796875" style="27" customWidth="1"/>
    <col min="11782" max="11782" width="1.9453125" style="27" customWidth="1"/>
    <col min="11783" max="11783" width="8" style="27" customWidth="1"/>
    <col min="11784" max="11784" width="11.68359375" style="27" customWidth="1"/>
    <col min="11785" max="11785" width="12.20703125" style="27" customWidth="1"/>
    <col min="11786" max="11786" width="10.26171875" style="27" customWidth="1"/>
    <col min="11787" max="11787" width="12.47265625" style="27" customWidth="1"/>
    <col min="11788" max="11788" width="7.89453125" style="27" customWidth="1"/>
    <col min="11789" max="11789" width="13.26171875" style="27" customWidth="1"/>
    <col min="11790" max="11790" width="19.83984375" style="27" customWidth="1"/>
    <col min="11791" max="12032" width="9.05078125" style="27"/>
    <col min="12033" max="12033" width="8" style="27" customWidth="1"/>
    <col min="12034" max="12034" width="13.9453125" style="27" customWidth="1"/>
    <col min="12035" max="12035" width="7.47265625" style="27" customWidth="1"/>
    <col min="12036" max="12036" width="7.3671875" style="27" customWidth="1"/>
    <col min="12037" max="12037" width="1.41796875" style="27" customWidth="1"/>
    <col min="12038" max="12038" width="1.9453125" style="27" customWidth="1"/>
    <col min="12039" max="12039" width="8" style="27" customWidth="1"/>
    <col min="12040" max="12040" width="11.68359375" style="27" customWidth="1"/>
    <col min="12041" max="12041" width="12.20703125" style="27" customWidth="1"/>
    <col min="12042" max="12042" width="10.26171875" style="27" customWidth="1"/>
    <col min="12043" max="12043" width="12.47265625" style="27" customWidth="1"/>
    <col min="12044" max="12044" width="7.89453125" style="27" customWidth="1"/>
    <col min="12045" max="12045" width="13.26171875" style="27" customWidth="1"/>
    <col min="12046" max="12046" width="19.83984375" style="27" customWidth="1"/>
    <col min="12047" max="12288" width="9.05078125" style="27"/>
    <col min="12289" max="12289" width="8" style="27" customWidth="1"/>
    <col min="12290" max="12290" width="13.9453125" style="27" customWidth="1"/>
    <col min="12291" max="12291" width="7.47265625" style="27" customWidth="1"/>
    <col min="12292" max="12292" width="7.3671875" style="27" customWidth="1"/>
    <col min="12293" max="12293" width="1.41796875" style="27" customWidth="1"/>
    <col min="12294" max="12294" width="1.9453125" style="27" customWidth="1"/>
    <col min="12295" max="12295" width="8" style="27" customWidth="1"/>
    <col min="12296" max="12296" width="11.68359375" style="27" customWidth="1"/>
    <col min="12297" max="12297" width="12.20703125" style="27" customWidth="1"/>
    <col min="12298" max="12298" width="10.26171875" style="27" customWidth="1"/>
    <col min="12299" max="12299" width="12.47265625" style="27" customWidth="1"/>
    <col min="12300" max="12300" width="7.89453125" style="27" customWidth="1"/>
    <col min="12301" max="12301" width="13.26171875" style="27" customWidth="1"/>
    <col min="12302" max="12302" width="19.83984375" style="27" customWidth="1"/>
    <col min="12303" max="12544" width="9.05078125" style="27"/>
    <col min="12545" max="12545" width="8" style="27" customWidth="1"/>
    <col min="12546" max="12546" width="13.9453125" style="27" customWidth="1"/>
    <col min="12547" max="12547" width="7.47265625" style="27" customWidth="1"/>
    <col min="12548" max="12548" width="7.3671875" style="27" customWidth="1"/>
    <col min="12549" max="12549" width="1.41796875" style="27" customWidth="1"/>
    <col min="12550" max="12550" width="1.9453125" style="27" customWidth="1"/>
    <col min="12551" max="12551" width="8" style="27" customWidth="1"/>
    <col min="12552" max="12552" width="11.68359375" style="27" customWidth="1"/>
    <col min="12553" max="12553" width="12.20703125" style="27" customWidth="1"/>
    <col min="12554" max="12554" width="10.26171875" style="27" customWidth="1"/>
    <col min="12555" max="12555" width="12.47265625" style="27" customWidth="1"/>
    <col min="12556" max="12556" width="7.89453125" style="27" customWidth="1"/>
    <col min="12557" max="12557" width="13.26171875" style="27" customWidth="1"/>
    <col min="12558" max="12558" width="19.83984375" style="27" customWidth="1"/>
    <col min="12559" max="12800" width="9.05078125" style="27"/>
    <col min="12801" max="12801" width="8" style="27" customWidth="1"/>
    <col min="12802" max="12802" width="13.9453125" style="27" customWidth="1"/>
    <col min="12803" max="12803" width="7.47265625" style="27" customWidth="1"/>
    <col min="12804" max="12804" width="7.3671875" style="27" customWidth="1"/>
    <col min="12805" max="12805" width="1.41796875" style="27" customWidth="1"/>
    <col min="12806" max="12806" width="1.9453125" style="27" customWidth="1"/>
    <col min="12807" max="12807" width="8" style="27" customWidth="1"/>
    <col min="12808" max="12808" width="11.68359375" style="27" customWidth="1"/>
    <col min="12809" max="12809" width="12.20703125" style="27" customWidth="1"/>
    <col min="12810" max="12810" width="10.26171875" style="27" customWidth="1"/>
    <col min="12811" max="12811" width="12.47265625" style="27" customWidth="1"/>
    <col min="12812" max="12812" width="7.89453125" style="27" customWidth="1"/>
    <col min="12813" max="12813" width="13.26171875" style="27" customWidth="1"/>
    <col min="12814" max="12814" width="19.83984375" style="27" customWidth="1"/>
    <col min="12815" max="13056" width="9.05078125" style="27"/>
    <col min="13057" max="13057" width="8" style="27" customWidth="1"/>
    <col min="13058" max="13058" width="13.9453125" style="27" customWidth="1"/>
    <col min="13059" max="13059" width="7.47265625" style="27" customWidth="1"/>
    <col min="13060" max="13060" width="7.3671875" style="27" customWidth="1"/>
    <col min="13061" max="13061" width="1.41796875" style="27" customWidth="1"/>
    <col min="13062" max="13062" width="1.9453125" style="27" customWidth="1"/>
    <col min="13063" max="13063" width="8" style="27" customWidth="1"/>
    <col min="13064" max="13064" width="11.68359375" style="27" customWidth="1"/>
    <col min="13065" max="13065" width="12.20703125" style="27" customWidth="1"/>
    <col min="13066" max="13066" width="10.26171875" style="27" customWidth="1"/>
    <col min="13067" max="13067" width="12.47265625" style="27" customWidth="1"/>
    <col min="13068" max="13068" width="7.89453125" style="27" customWidth="1"/>
    <col min="13069" max="13069" width="13.26171875" style="27" customWidth="1"/>
    <col min="13070" max="13070" width="19.83984375" style="27" customWidth="1"/>
    <col min="13071" max="13312" width="9.05078125" style="27"/>
    <col min="13313" max="13313" width="8" style="27" customWidth="1"/>
    <col min="13314" max="13314" width="13.9453125" style="27" customWidth="1"/>
    <col min="13315" max="13315" width="7.47265625" style="27" customWidth="1"/>
    <col min="13316" max="13316" width="7.3671875" style="27" customWidth="1"/>
    <col min="13317" max="13317" width="1.41796875" style="27" customWidth="1"/>
    <col min="13318" max="13318" width="1.9453125" style="27" customWidth="1"/>
    <col min="13319" max="13319" width="8" style="27" customWidth="1"/>
    <col min="13320" max="13320" width="11.68359375" style="27" customWidth="1"/>
    <col min="13321" max="13321" width="12.20703125" style="27" customWidth="1"/>
    <col min="13322" max="13322" width="10.26171875" style="27" customWidth="1"/>
    <col min="13323" max="13323" width="12.47265625" style="27" customWidth="1"/>
    <col min="13324" max="13324" width="7.89453125" style="27" customWidth="1"/>
    <col min="13325" max="13325" width="13.26171875" style="27" customWidth="1"/>
    <col min="13326" max="13326" width="19.83984375" style="27" customWidth="1"/>
    <col min="13327" max="13568" width="9.05078125" style="27"/>
    <col min="13569" max="13569" width="8" style="27" customWidth="1"/>
    <col min="13570" max="13570" width="13.9453125" style="27" customWidth="1"/>
    <col min="13571" max="13571" width="7.47265625" style="27" customWidth="1"/>
    <col min="13572" max="13572" width="7.3671875" style="27" customWidth="1"/>
    <col min="13573" max="13573" width="1.41796875" style="27" customWidth="1"/>
    <col min="13574" max="13574" width="1.9453125" style="27" customWidth="1"/>
    <col min="13575" max="13575" width="8" style="27" customWidth="1"/>
    <col min="13576" max="13576" width="11.68359375" style="27" customWidth="1"/>
    <col min="13577" max="13577" width="12.20703125" style="27" customWidth="1"/>
    <col min="13578" max="13578" width="10.26171875" style="27" customWidth="1"/>
    <col min="13579" max="13579" width="12.47265625" style="27" customWidth="1"/>
    <col min="13580" max="13580" width="7.89453125" style="27" customWidth="1"/>
    <col min="13581" max="13581" width="13.26171875" style="27" customWidth="1"/>
    <col min="13582" max="13582" width="19.83984375" style="27" customWidth="1"/>
    <col min="13583" max="13824" width="9.05078125" style="27"/>
    <col min="13825" max="13825" width="8" style="27" customWidth="1"/>
    <col min="13826" max="13826" width="13.9453125" style="27" customWidth="1"/>
    <col min="13827" max="13827" width="7.47265625" style="27" customWidth="1"/>
    <col min="13828" max="13828" width="7.3671875" style="27" customWidth="1"/>
    <col min="13829" max="13829" width="1.41796875" style="27" customWidth="1"/>
    <col min="13830" max="13830" width="1.9453125" style="27" customWidth="1"/>
    <col min="13831" max="13831" width="8" style="27" customWidth="1"/>
    <col min="13832" max="13832" width="11.68359375" style="27" customWidth="1"/>
    <col min="13833" max="13833" width="12.20703125" style="27" customWidth="1"/>
    <col min="13834" max="13834" width="10.26171875" style="27" customWidth="1"/>
    <col min="13835" max="13835" width="12.47265625" style="27" customWidth="1"/>
    <col min="13836" max="13836" width="7.89453125" style="27" customWidth="1"/>
    <col min="13837" max="13837" width="13.26171875" style="27" customWidth="1"/>
    <col min="13838" max="13838" width="19.83984375" style="27" customWidth="1"/>
    <col min="13839" max="14080" width="9.05078125" style="27"/>
    <col min="14081" max="14081" width="8" style="27" customWidth="1"/>
    <col min="14082" max="14082" width="13.9453125" style="27" customWidth="1"/>
    <col min="14083" max="14083" width="7.47265625" style="27" customWidth="1"/>
    <col min="14084" max="14084" width="7.3671875" style="27" customWidth="1"/>
    <col min="14085" max="14085" width="1.41796875" style="27" customWidth="1"/>
    <col min="14086" max="14086" width="1.9453125" style="27" customWidth="1"/>
    <col min="14087" max="14087" width="8" style="27" customWidth="1"/>
    <col min="14088" max="14088" width="11.68359375" style="27" customWidth="1"/>
    <col min="14089" max="14089" width="12.20703125" style="27" customWidth="1"/>
    <col min="14090" max="14090" width="10.26171875" style="27" customWidth="1"/>
    <col min="14091" max="14091" width="12.47265625" style="27" customWidth="1"/>
    <col min="14092" max="14092" width="7.89453125" style="27" customWidth="1"/>
    <col min="14093" max="14093" width="13.26171875" style="27" customWidth="1"/>
    <col min="14094" max="14094" width="19.83984375" style="27" customWidth="1"/>
    <col min="14095" max="14336" width="9.05078125" style="27"/>
    <col min="14337" max="14337" width="8" style="27" customWidth="1"/>
    <col min="14338" max="14338" width="13.9453125" style="27" customWidth="1"/>
    <col min="14339" max="14339" width="7.47265625" style="27" customWidth="1"/>
    <col min="14340" max="14340" width="7.3671875" style="27" customWidth="1"/>
    <col min="14341" max="14341" width="1.41796875" style="27" customWidth="1"/>
    <col min="14342" max="14342" width="1.9453125" style="27" customWidth="1"/>
    <col min="14343" max="14343" width="8" style="27" customWidth="1"/>
    <col min="14344" max="14344" width="11.68359375" style="27" customWidth="1"/>
    <col min="14345" max="14345" width="12.20703125" style="27" customWidth="1"/>
    <col min="14346" max="14346" width="10.26171875" style="27" customWidth="1"/>
    <col min="14347" max="14347" width="12.47265625" style="27" customWidth="1"/>
    <col min="14348" max="14348" width="7.89453125" style="27" customWidth="1"/>
    <col min="14349" max="14349" width="13.26171875" style="27" customWidth="1"/>
    <col min="14350" max="14350" width="19.83984375" style="27" customWidth="1"/>
    <col min="14351" max="14592" width="9.05078125" style="27"/>
    <col min="14593" max="14593" width="8" style="27" customWidth="1"/>
    <col min="14594" max="14594" width="13.9453125" style="27" customWidth="1"/>
    <col min="14595" max="14595" width="7.47265625" style="27" customWidth="1"/>
    <col min="14596" max="14596" width="7.3671875" style="27" customWidth="1"/>
    <col min="14597" max="14597" width="1.41796875" style="27" customWidth="1"/>
    <col min="14598" max="14598" width="1.9453125" style="27" customWidth="1"/>
    <col min="14599" max="14599" width="8" style="27" customWidth="1"/>
    <col min="14600" max="14600" width="11.68359375" style="27" customWidth="1"/>
    <col min="14601" max="14601" width="12.20703125" style="27" customWidth="1"/>
    <col min="14602" max="14602" width="10.26171875" style="27" customWidth="1"/>
    <col min="14603" max="14603" width="12.47265625" style="27" customWidth="1"/>
    <col min="14604" max="14604" width="7.89453125" style="27" customWidth="1"/>
    <col min="14605" max="14605" width="13.26171875" style="27" customWidth="1"/>
    <col min="14606" max="14606" width="19.83984375" style="27" customWidth="1"/>
    <col min="14607" max="14848" width="9.05078125" style="27"/>
    <col min="14849" max="14849" width="8" style="27" customWidth="1"/>
    <col min="14850" max="14850" width="13.9453125" style="27" customWidth="1"/>
    <col min="14851" max="14851" width="7.47265625" style="27" customWidth="1"/>
    <col min="14852" max="14852" width="7.3671875" style="27" customWidth="1"/>
    <col min="14853" max="14853" width="1.41796875" style="27" customWidth="1"/>
    <col min="14854" max="14854" width="1.9453125" style="27" customWidth="1"/>
    <col min="14855" max="14855" width="8" style="27" customWidth="1"/>
    <col min="14856" max="14856" width="11.68359375" style="27" customWidth="1"/>
    <col min="14857" max="14857" width="12.20703125" style="27" customWidth="1"/>
    <col min="14858" max="14858" width="10.26171875" style="27" customWidth="1"/>
    <col min="14859" max="14859" width="12.47265625" style="27" customWidth="1"/>
    <col min="14860" max="14860" width="7.89453125" style="27" customWidth="1"/>
    <col min="14861" max="14861" width="13.26171875" style="27" customWidth="1"/>
    <col min="14862" max="14862" width="19.83984375" style="27" customWidth="1"/>
    <col min="14863" max="15104" width="9.05078125" style="27"/>
    <col min="15105" max="15105" width="8" style="27" customWidth="1"/>
    <col min="15106" max="15106" width="13.9453125" style="27" customWidth="1"/>
    <col min="15107" max="15107" width="7.47265625" style="27" customWidth="1"/>
    <col min="15108" max="15108" width="7.3671875" style="27" customWidth="1"/>
    <col min="15109" max="15109" width="1.41796875" style="27" customWidth="1"/>
    <col min="15110" max="15110" width="1.9453125" style="27" customWidth="1"/>
    <col min="15111" max="15111" width="8" style="27" customWidth="1"/>
    <col min="15112" max="15112" width="11.68359375" style="27" customWidth="1"/>
    <col min="15113" max="15113" width="12.20703125" style="27" customWidth="1"/>
    <col min="15114" max="15114" width="10.26171875" style="27" customWidth="1"/>
    <col min="15115" max="15115" width="12.47265625" style="27" customWidth="1"/>
    <col min="15116" max="15116" width="7.89453125" style="27" customWidth="1"/>
    <col min="15117" max="15117" width="13.26171875" style="27" customWidth="1"/>
    <col min="15118" max="15118" width="19.83984375" style="27" customWidth="1"/>
    <col min="15119" max="15360" width="9.05078125" style="27"/>
    <col min="15361" max="15361" width="8" style="27" customWidth="1"/>
    <col min="15362" max="15362" width="13.9453125" style="27" customWidth="1"/>
    <col min="15363" max="15363" width="7.47265625" style="27" customWidth="1"/>
    <col min="15364" max="15364" width="7.3671875" style="27" customWidth="1"/>
    <col min="15365" max="15365" width="1.41796875" style="27" customWidth="1"/>
    <col min="15366" max="15366" width="1.9453125" style="27" customWidth="1"/>
    <col min="15367" max="15367" width="8" style="27" customWidth="1"/>
    <col min="15368" max="15368" width="11.68359375" style="27" customWidth="1"/>
    <col min="15369" max="15369" width="12.20703125" style="27" customWidth="1"/>
    <col min="15370" max="15370" width="10.26171875" style="27" customWidth="1"/>
    <col min="15371" max="15371" width="12.47265625" style="27" customWidth="1"/>
    <col min="15372" max="15372" width="7.89453125" style="27" customWidth="1"/>
    <col min="15373" max="15373" width="13.26171875" style="27" customWidth="1"/>
    <col min="15374" max="15374" width="19.83984375" style="27" customWidth="1"/>
    <col min="15375" max="15616" width="9.05078125" style="27"/>
    <col min="15617" max="15617" width="8" style="27" customWidth="1"/>
    <col min="15618" max="15618" width="13.9453125" style="27" customWidth="1"/>
    <col min="15619" max="15619" width="7.47265625" style="27" customWidth="1"/>
    <col min="15620" max="15620" width="7.3671875" style="27" customWidth="1"/>
    <col min="15621" max="15621" width="1.41796875" style="27" customWidth="1"/>
    <col min="15622" max="15622" width="1.9453125" style="27" customWidth="1"/>
    <col min="15623" max="15623" width="8" style="27" customWidth="1"/>
    <col min="15624" max="15624" width="11.68359375" style="27" customWidth="1"/>
    <col min="15625" max="15625" width="12.20703125" style="27" customWidth="1"/>
    <col min="15626" max="15626" width="10.26171875" style="27" customWidth="1"/>
    <col min="15627" max="15627" width="12.47265625" style="27" customWidth="1"/>
    <col min="15628" max="15628" width="7.89453125" style="27" customWidth="1"/>
    <col min="15629" max="15629" width="13.26171875" style="27" customWidth="1"/>
    <col min="15630" max="15630" width="19.83984375" style="27" customWidth="1"/>
    <col min="15631" max="15872" width="9.05078125" style="27"/>
    <col min="15873" max="15873" width="8" style="27" customWidth="1"/>
    <col min="15874" max="15874" width="13.9453125" style="27" customWidth="1"/>
    <col min="15875" max="15875" width="7.47265625" style="27" customWidth="1"/>
    <col min="15876" max="15876" width="7.3671875" style="27" customWidth="1"/>
    <col min="15877" max="15877" width="1.41796875" style="27" customWidth="1"/>
    <col min="15878" max="15878" width="1.9453125" style="27" customWidth="1"/>
    <col min="15879" max="15879" width="8" style="27" customWidth="1"/>
    <col min="15880" max="15880" width="11.68359375" style="27" customWidth="1"/>
    <col min="15881" max="15881" width="12.20703125" style="27" customWidth="1"/>
    <col min="15882" max="15882" width="10.26171875" style="27" customWidth="1"/>
    <col min="15883" max="15883" width="12.47265625" style="27" customWidth="1"/>
    <col min="15884" max="15884" width="7.89453125" style="27" customWidth="1"/>
    <col min="15885" max="15885" width="13.26171875" style="27" customWidth="1"/>
    <col min="15886" max="15886" width="19.83984375" style="27" customWidth="1"/>
    <col min="15887" max="16128" width="9.05078125" style="27"/>
    <col min="16129" max="16129" width="8" style="27" customWidth="1"/>
    <col min="16130" max="16130" width="13.9453125" style="27" customWidth="1"/>
    <col min="16131" max="16131" width="7.47265625" style="27" customWidth="1"/>
    <col min="16132" max="16132" width="7.3671875" style="27" customWidth="1"/>
    <col min="16133" max="16133" width="1.41796875" style="27" customWidth="1"/>
    <col min="16134" max="16134" width="1.9453125" style="27" customWidth="1"/>
    <col min="16135" max="16135" width="8" style="27" customWidth="1"/>
    <col min="16136" max="16136" width="11.68359375" style="27" customWidth="1"/>
    <col min="16137" max="16137" width="12.20703125" style="27" customWidth="1"/>
    <col min="16138" max="16138" width="10.26171875" style="27" customWidth="1"/>
    <col min="16139" max="16139" width="12.47265625" style="27" customWidth="1"/>
    <col min="16140" max="16140" width="7.89453125" style="27" customWidth="1"/>
    <col min="16141" max="16141" width="13.26171875" style="27" customWidth="1"/>
    <col min="16142" max="16142" width="19.83984375" style="27" customWidth="1"/>
    <col min="16143" max="16384" width="9.05078125" style="27"/>
  </cols>
  <sheetData>
    <row r="1" spans="1:18" ht="15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8" ht="15">
      <c r="A2" s="107" t="s">
        <v>210</v>
      </c>
      <c r="B2" s="107"/>
      <c r="C2" s="107"/>
      <c r="D2" s="107"/>
      <c r="G2" s="28"/>
      <c r="H2" s="28"/>
      <c r="I2" s="28"/>
      <c r="J2" s="28"/>
      <c r="K2" s="28"/>
      <c r="M2" s="108"/>
      <c r="N2" s="108"/>
    </row>
    <row r="3" spans="1:18" ht="15">
      <c r="A3" s="107"/>
      <c r="B3" s="107"/>
      <c r="C3" s="107"/>
      <c r="D3" s="107"/>
      <c r="G3" s="28"/>
      <c r="H3" s="28"/>
      <c r="I3" s="28"/>
      <c r="J3" s="28"/>
      <c r="K3" s="28"/>
      <c r="M3" s="29"/>
      <c r="N3" s="29"/>
    </row>
    <row r="4" spans="1:18" ht="15">
      <c r="A4" s="28"/>
      <c r="B4" s="28"/>
      <c r="C4" s="28"/>
      <c r="D4" s="28"/>
      <c r="E4" s="28"/>
      <c r="G4" s="88" t="s">
        <v>121</v>
      </c>
      <c r="H4" s="88"/>
      <c r="I4" s="88"/>
      <c r="J4" s="30" t="s">
        <v>2</v>
      </c>
      <c r="K4" s="30"/>
      <c r="M4" s="31">
        <f>G17</f>
        <v>6</v>
      </c>
      <c r="N4" s="32"/>
    </row>
    <row r="5" spans="1:18" ht="27">
      <c r="A5" s="33"/>
      <c r="B5" s="28"/>
      <c r="C5" s="28"/>
      <c r="D5" s="28"/>
      <c r="E5" s="28"/>
      <c r="F5" s="26"/>
      <c r="G5" s="88"/>
      <c r="H5" s="88"/>
      <c r="I5" s="88"/>
      <c r="J5" s="30" t="s">
        <v>122</v>
      </c>
      <c r="K5" s="28"/>
      <c r="M5" s="34">
        <f>I17</f>
        <v>11775.5</v>
      </c>
      <c r="N5" s="35" t="s">
        <v>3</v>
      </c>
    </row>
    <row r="6" spans="1:18" ht="15">
      <c r="A6" s="109" t="s">
        <v>209</v>
      </c>
      <c r="B6" s="109"/>
      <c r="C6" s="109"/>
      <c r="D6" s="109"/>
      <c r="E6" s="28"/>
      <c r="F6" s="28"/>
      <c r="G6" s="28"/>
      <c r="H6" s="28"/>
      <c r="I6" s="28"/>
      <c r="J6" s="109" t="s">
        <v>4</v>
      </c>
      <c r="K6" s="109"/>
      <c r="M6" s="34">
        <f>K17</f>
        <v>11775.5</v>
      </c>
      <c r="N6" s="35" t="s">
        <v>3</v>
      </c>
    </row>
    <row r="7" spans="1:18" ht="18">
      <c r="A7" s="109"/>
      <c r="B7" s="109"/>
      <c r="C7" s="109"/>
      <c r="D7" s="109"/>
      <c r="E7" s="109"/>
      <c r="F7" s="28"/>
      <c r="G7" s="28"/>
      <c r="H7" s="28"/>
      <c r="I7" s="28"/>
      <c r="J7" s="109" t="s">
        <v>5</v>
      </c>
      <c r="K7" s="109"/>
      <c r="M7" s="34">
        <f>M17</f>
        <v>13.83156</v>
      </c>
      <c r="N7" s="35" t="s">
        <v>123</v>
      </c>
    </row>
    <row r="8" spans="1:18" ht="1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8">
      <c r="A9" s="97" t="s">
        <v>124</v>
      </c>
      <c r="B9" s="99" t="s">
        <v>7</v>
      </c>
      <c r="C9" s="100"/>
      <c r="D9" s="100"/>
      <c r="E9" s="100"/>
      <c r="F9" s="101"/>
      <c r="G9" s="105" t="s">
        <v>125</v>
      </c>
      <c r="H9" s="93" t="s">
        <v>126</v>
      </c>
      <c r="I9" s="95"/>
      <c r="J9" s="93" t="s">
        <v>127</v>
      </c>
      <c r="K9" s="95"/>
      <c r="L9" s="93" t="s">
        <v>128</v>
      </c>
      <c r="M9" s="95"/>
      <c r="N9" s="96" t="s">
        <v>129</v>
      </c>
    </row>
    <row r="10" spans="1:18">
      <c r="A10" s="98"/>
      <c r="B10" s="102"/>
      <c r="C10" s="103"/>
      <c r="D10" s="103"/>
      <c r="E10" s="103"/>
      <c r="F10" s="104"/>
      <c r="G10" s="106"/>
      <c r="H10" s="36" t="s">
        <v>130</v>
      </c>
      <c r="I10" s="36" t="s">
        <v>131</v>
      </c>
      <c r="J10" s="36" t="s">
        <v>130</v>
      </c>
      <c r="K10" s="36" t="s">
        <v>131</v>
      </c>
      <c r="L10" s="36" t="s">
        <v>132</v>
      </c>
      <c r="M10" s="36" t="s">
        <v>131</v>
      </c>
      <c r="N10" s="96"/>
    </row>
    <row r="11" spans="1:18">
      <c r="A11" s="37" t="s">
        <v>133</v>
      </c>
      <c r="B11" s="90" t="s">
        <v>134</v>
      </c>
      <c r="C11" s="91"/>
      <c r="D11" s="91"/>
      <c r="E11" s="91"/>
      <c r="F11" s="92"/>
      <c r="G11" s="38">
        <v>1</v>
      </c>
      <c r="H11" s="39">
        <v>4228</v>
      </c>
      <c r="I11" s="39">
        <f t="shared" ref="I11:I16" si="0">H11*G11</f>
        <v>4228</v>
      </c>
      <c r="J11" s="39">
        <v>4228</v>
      </c>
      <c r="K11" s="39">
        <f t="shared" ref="K11:K16" si="1">J11*G11</f>
        <v>4228</v>
      </c>
      <c r="L11" s="39">
        <f>4.9*1.2*0.64</f>
        <v>3.7631999999999999</v>
      </c>
      <c r="M11" s="39">
        <f t="shared" ref="M11:M16" si="2">L11*G11</f>
        <v>3.7631999999999999</v>
      </c>
      <c r="N11" s="40" t="s">
        <v>135</v>
      </c>
    </row>
    <row r="12" spans="1:18">
      <c r="A12" s="37" t="s">
        <v>59</v>
      </c>
      <c r="B12" s="90" t="s">
        <v>134</v>
      </c>
      <c r="C12" s="91"/>
      <c r="D12" s="91"/>
      <c r="E12" s="91"/>
      <c r="F12" s="92"/>
      <c r="G12" s="38">
        <v>1</v>
      </c>
      <c r="H12" s="39">
        <v>3402.1</v>
      </c>
      <c r="I12" s="39">
        <f t="shared" si="0"/>
        <v>3402.1</v>
      </c>
      <c r="J12" s="39">
        <v>3402.1</v>
      </c>
      <c r="K12" s="39">
        <f t="shared" si="1"/>
        <v>3402.1</v>
      </c>
      <c r="L12" s="39">
        <f>5.83*1.13*0.64</f>
        <v>4.2162559999999996</v>
      </c>
      <c r="M12" s="39">
        <f>L12*G12</f>
        <v>4.2162559999999996</v>
      </c>
      <c r="N12" s="40" t="s">
        <v>136</v>
      </c>
    </row>
    <row r="13" spans="1:18">
      <c r="A13" s="37" t="s">
        <v>60</v>
      </c>
      <c r="B13" s="90" t="s">
        <v>134</v>
      </c>
      <c r="C13" s="91"/>
      <c r="D13" s="91"/>
      <c r="E13" s="91"/>
      <c r="F13" s="92"/>
      <c r="G13" s="41">
        <v>1</v>
      </c>
      <c r="H13" s="42">
        <v>1465.2</v>
      </c>
      <c r="I13" s="39">
        <f t="shared" si="0"/>
        <v>1465.2</v>
      </c>
      <c r="J13" s="42">
        <v>1465.2</v>
      </c>
      <c r="K13" s="39">
        <f t="shared" si="1"/>
        <v>1465.2</v>
      </c>
      <c r="L13" s="42">
        <f>5.05*0.58*0.61</f>
        <v>1.7866899999999999</v>
      </c>
      <c r="M13" s="39">
        <f t="shared" si="2"/>
        <v>1.7866899999999999</v>
      </c>
      <c r="N13" s="41" t="s">
        <v>137</v>
      </c>
      <c r="O13" s="43"/>
      <c r="P13" s="43"/>
      <c r="Q13" s="43"/>
      <c r="R13" s="43"/>
    </row>
    <row r="14" spans="1:18">
      <c r="A14" s="37" t="s">
        <v>61</v>
      </c>
      <c r="B14" s="90" t="s">
        <v>134</v>
      </c>
      <c r="C14" s="91"/>
      <c r="D14" s="91"/>
      <c r="E14" s="91"/>
      <c r="F14" s="92"/>
      <c r="G14" s="41">
        <v>1</v>
      </c>
      <c r="H14" s="42">
        <v>897.3</v>
      </c>
      <c r="I14" s="39">
        <f t="shared" si="0"/>
        <v>897.3</v>
      </c>
      <c r="J14" s="42">
        <v>897.3</v>
      </c>
      <c r="K14" s="39">
        <f t="shared" si="1"/>
        <v>897.3</v>
      </c>
      <c r="L14" s="42">
        <f>0.85*0.84*1.18</f>
        <v>0.84251999999999994</v>
      </c>
      <c r="M14" s="39">
        <f t="shared" si="2"/>
        <v>0.84251999999999994</v>
      </c>
      <c r="N14" s="41" t="s">
        <v>138</v>
      </c>
      <c r="O14" s="43"/>
      <c r="P14" s="43"/>
      <c r="Q14" s="43"/>
      <c r="R14" s="43"/>
    </row>
    <row r="15" spans="1:18">
      <c r="A15" s="37" t="s">
        <v>62</v>
      </c>
      <c r="B15" s="90" t="s">
        <v>134</v>
      </c>
      <c r="C15" s="91"/>
      <c r="D15" s="91"/>
      <c r="E15" s="91"/>
      <c r="F15" s="92"/>
      <c r="G15" s="41">
        <v>1</v>
      </c>
      <c r="H15" s="42">
        <v>1122.5</v>
      </c>
      <c r="I15" s="39">
        <f t="shared" si="0"/>
        <v>1122.5</v>
      </c>
      <c r="J15" s="42">
        <v>1122.5</v>
      </c>
      <c r="K15" s="39">
        <f t="shared" si="1"/>
        <v>1122.5</v>
      </c>
      <c r="L15" s="42">
        <f>0.83*0.82*1.49</f>
        <v>1.0140939999999998</v>
      </c>
      <c r="M15" s="39">
        <f t="shared" si="2"/>
        <v>1.0140939999999998</v>
      </c>
      <c r="N15" s="41" t="s">
        <v>139</v>
      </c>
      <c r="O15" s="43"/>
      <c r="P15" s="43"/>
      <c r="Q15" s="43"/>
      <c r="R15" s="43"/>
    </row>
    <row r="16" spans="1:18">
      <c r="A16" s="37" t="s">
        <v>63</v>
      </c>
      <c r="B16" s="90" t="s">
        <v>134</v>
      </c>
      <c r="C16" s="91"/>
      <c r="D16" s="91"/>
      <c r="E16" s="91"/>
      <c r="F16" s="92"/>
      <c r="G16" s="41">
        <v>1</v>
      </c>
      <c r="H16" s="42">
        <v>660.4</v>
      </c>
      <c r="I16" s="39">
        <f t="shared" si="0"/>
        <v>660.4</v>
      </c>
      <c r="J16" s="42">
        <v>660.4</v>
      </c>
      <c r="K16" s="39">
        <f t="shared" si="1"/>
        <v>660.4</v>
      </c>
      <c r="L16" s="42">
        <f>5.02*0.88*0.5</f>
        <v>2.2087999999999997</v>
      </c>
      <c r="M16" s="39">
        <f t="shared" si="2"/>
        <v>2.2087999999999997</v>
      </c>
      <c r="N16" s="41" t="s">
        <v>140</v>
      </c>
      <c r="O16" s="43"/>
      <c r="P16" s="43"/>
      <c r="Q16" s="43"/>
      <c r="R16" s="43"/>
    </row>
    <row r="17" spans="1:14">
      <c r="A17" s="44" t="s">
        <v>131</v>
      </c>
      <c r="B17" s="93"/>
      <c r="C17" s="94"/>
      <c r="D17" s="94"/>
      <c r="E17" s="94"/>
      <c r="F17" s="95"/>
      <c r="G17" s="41">
        <f>SUM(G11:G16)</f>
        <v>6</v>
      </c>
      <c r="H17" s="42"/>
      <c r="I17" s="42">
        <f>SUM(I11:I16)</f>
        <v>11775.5</v>
      </c>
      <c r="J17" s="42"/>
      <c r="K17" s="42">
        <f>SUM(K11:K16)</f>
        <v>11775.5</v>
      </c>
      <c r="L17" s="42"/>
      <c r="M17" s="42">
        <f>SUM(M11:M16)</f>
        <v>13.83156</v>
      </c>
      <c r="N17" s="41"/>
    </row>
  </sheetData>
  <mergeCells count="21">
    <mergeCell ref="A7:E7"/>
    <mergeCell ref="J7:K7"/>
    <mergeCell ref="A2:D3"/>
    <mergeCell ref="M2:N2"/>
    <mergeCell ref="G4:I5"/>
    <mergeCell ref="A6:D6"/>
    <mergeCell ref="J6:K6"/>
    <mergeCell ref="A9:A10"/>
    <mergeCell ref="B9:F10"/>
    <mergeCell ref="G9:G10"/>
    <mergeCell ref="H9:I9"/>
    <mergeCell ref="J9:K9"/>
    <mergeCell ref="B16:F16"/>
    <mergeCell ref="B17:F17"/>
    <mergeCell ref="N9:N10"/>
    <mergeCell ref="B11:F11"/>
    <mergeCell ref="B12:F12"/>
    <mergeCell ref="B13:F13"/>
    <mergeCell ref="B14:F14"/>
    <mergeCell ref="B15:F15"/>
    <mergeCell ref="L9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1AE5-6235-486A-99F6-B1D7157BA654}">
  <dimension ref="A1:J65"/>
  <sheetViews>
    <sheetView topLeftCell="A52" workbookViewId="0">
      <selection activeCell="M17" sqref="M17"/>
    </sheetView>
  </sheetViews>
  <sheetFormatPr defaultColWidth="9" defaultRowHeight="14.4"/>
  <cols>
    <col min="1" max="1" width="8.26171875" style="53" customWidth="1"/>
    <col min="2" max="2" width="21.3671875" customWidth="1"/>
    <col min="3" max="3" width="6.62890625" customWidth="1"/>
    <col min="4" max="4" width="9.734375" customWidth="1"/>
    <col min="5" max="5" width="9.3671875" customWidth="1"/>
    <col min="6" max="6" width="7.89453125" customWidth="1"/>
    <col min="7" max="7" width="9.3671875" customWidth="1"/>
    <col min="8" max="8" width="10.47265625" customWidth="1"/>
    <col min="9" max="10" width="13.1015625" customWidth="1"/>
  </cols>
  <sheetData>
    <row r="1" spans="1:10" s="1" customFormat="1" ht="18.75" customHeight="1">
      <c r="A1" s="45"/>
      <c r="B1" s="3"/>
      <c r="C1" s="9"/>
      <c r="D1" s="88" t="s">
        <v>121</v>
      </c>
      <c r="E1" s="88"/>
      <c r="F1" s="88"/>
      <c r="G1" s="3"/>
      <c r="H1" s="3"/>
      <c r="I1" s="3"/>
      <c r="J1" s="3"/>
    </row>
    <row r="2" spans="1:10" s="1" customFormat="1" ht="15" customHeight="1">
      <c r="A2" s="46" t="s">
        <v>0</v>
      </c>
      <c r="B2" s="89" t="s">
        <v>1</v>
      </c>
      <c r="C2" s="89"/>
      <c r="D2" s="88"/>
      <c r="E2" s="88"/>
      <c r="F2" s="88"/>
      <c r="G2" s="3"/>
      <c r="I2" s="87"/>
      <c r="J2" s="87"/>
    </row>
    <row r="3" spans="1:10" s="1" customFormat="1" ht="15" customHeight="1">
      <c r="A3" s="47"/>
      <c r="B3" s="89"/>
      <c r="C3" s="89"/>
      <c r="D3" s="88"/>
      <c r="E3" s="88"/>
      <c r="F3" s="88"/>
      <c r="G3" s="3"/>
      <c r="H3" s="3"/>
      <c r="I3" s="3"/>
    </row>
    <row r="4" spans="1:10" s="1" customFormat="1" ht="15" customHeight="1">
      <c r="A4" s="46"/>
      <c r="B4" s="8"/>
      <c r="C4" s="9"/>
      <c r="D4" s="88"/>
      <c r="E4" s="88"/>
      <c r="F4" s="88"/>
      <c r="G4" s="3" t="s">
        <v>2</v>
      </c>
      <c r="I4" s="10">
        <f>C65</f>
        <v>1670</v>
      </c>
      <c r="J4" s="5" t="s">
        <v>141</v>
      </c>
    </row>
    <row r="5" spans="1:10" s="1" customFormat="1" ht="15.75" customHeight="1">
      <c r="A5" s="47"/>
      <c r="B5" s="3"/>
      <c r="C5" s="9"/>
      <c r="D5" s="88"/>
      <c r="E5" s="88"/>
      <c r="F5" s="88"/>
      <c r="G5" s="3" t="s">
        <v>122</v>
      </c>
      <c r="I5" s="7">
        <f>D65</f>
        <v>115000</v>
      </c>
      <c r="J5" s="6" t="s">
        <v>3</v>
      </c>
    </row>
    <row r="6" spans="1:10" s="1" customFormat="1" ht="15" customHeight="1">
      <c r="A6" s="54" t="s">
        <v>211</v>
      </c>
      <c r="B6" s="54"/>
      <c r="C6" s="9"/>
      <c r="D6" s="88"/>
      <c r="E6" s="88"/>
      <c r="F6" s="88"/>
      <c r="G6" s="3" t="s">
        <v>4</v>
      </c>
      <c r="I6" s="7">
        <f>E65</f>
        <v>132907</v>
      </c>
      <c r="J6" s="6" t="s">
        <v>3</v>
      </c>
    </row>
    <row r="7" spans="1:10" s="1" customFormat="1" ht="18" customHeight="1">
      <c r="A7" s="46"/>
      <c r="B7" s="3"/>
      <c r="C7" s="9"/>
      <c r="D7" s="88"/>
      <c r="E7" s="88"/>
      <c r="F7" s="88"/>
      <c r="G7" s="3" t="s">
        <v>5</v>
      </c>
      <c r="I7" s="7">
        <v>164.31</v>
      </c>
      <c r="J7" s="6" t="s">
        <v>6</v>
      </c>
    </row>
    <row r="9" spans="1:10" s="2" customFormat="1" ht="31.5" customHeight="1">
      <c r="A9" s="48" t="s">
        <v>142</v>
      </c>
      <c r="B9" s="11" t="s">
        <v>7</v>
      </c>
      <c r="C9" s="11" t="s">
        <v>114</v>
      </c>
      <c r="D9" s="49" t="s">
        <v>115</v>
      </c>
      <c r="E9" s="49" t="s">
        <v>116</v>
      </c>
      <c r="F9" s="129" t="s">
        <v>143</v>
      </c>
      <c r="G9" s="130"/>
      <c r="H9" s="131"/>
      <c r="I9" s="13" t="s">
        <v>118</v>
      </c>
      <c r="J9" s="11" t="s">
        <v>144</v>
      </c>
    </row>
    <row r="10" spans="1:10" s="2" customFormat="1">
      <c r="A10" s="123" t="s">
        <v>145</v>
      </c>
      <c r="B10" s="50" t="s">
        <v>146</v>
      </c>
      <c r="C10" s="19">
        <v>80</v>
      </c>
      <c r="D10" s="25">
        <v>8600</v>
      </c>
      <c r="E10" s="19">
        <v>9802</v>
      </c>
      <c r="F10" s="110" t="s">
        <v>147</v>
      </c>
      <c r="G10" s="111"/>
      <c r="H10" s="112"/>
      <c r="I10" s="12">
        <f>89*89*12000/1000000000*80</f>
        <v>7.6041600000000003</v>
      </c>
      <c r="J10" s="125" t="s">
        <v>212</v>
      </c>
    </row>
    <row r="11" spans="1:10" s="2" customFormat="1" ht="13.5" customHeight="1">
      <c r="A11" s="124"/>
      <c r="B11" s="50" t="s">
        <v>146</v>
      </c>
      <c r="C11" s="19">
        <v>27</v>
      </c>
      <c r="D11" s="25">
        <v>4200</v>
      </c>
      <c r="E11" s="19">
        <v>4860</v>
      </c>
      <c r="F11" s="110" t="s">
        <v>147</v>
      </c>
      <c r="G11" s="111"/>
      <c r="H11" s="112"/>
      <c r="I11" s="12">
        <f>89*89*12000/1000000000*27</f>
        <v>2.5664039999999999</v>
      </c>
      <c r="J11" s="126"/>
    </row>
    <row r="12" spans="1:10" s="2" customFormat="1" ht="13.5" customHeight="1">
      <c r="A12" s="124"/>
      <c r="B12" s="50" t="s">
        <v>146</v>
      </c>
      <c r="C12" s="19">
        <v>11</v>
      </c>
      <c r="D12" s="25">
        <v>1500</v>
      </c>
      <c r="E12" s="19">
        <v>1728</v>
      </c>
      <c r="F12" s="110" t="s">
        <v>148</v>
      </c>
      <c r="G12" s="111"/>
      <c r="H12" s="112"/>
      <c r="I12" s="12">
        <f>114*114*12000/1000000000*C12</f>
        <v>1.7154720000000001</v>
      </c>
      <c r="J12" s="126"/>
    </row>
    <row r="13" spans="1:10" s="2" customFormat="1">
      <c r="A13" s="124"/>
      <c r="B13" s="50" t="s">
        <v>146</v>
      </c>
      <c r="C13" s="19">
        <v>10</v>
      </c>
      <c r="D13" s="25">
        <v>1600</v>
      </c>
      <c r="E13" s="19">
        <v>1812</v>
      </c>
      <c r="F13" s="110" t="s">
        <v>148</v>
      </c>
      <c r="G13" s="111"/>
      <c r="H13" s="112"/>
      <c r="I13" s="12">
        <f>114*114*12000/1000000000*C13</f>
        <v>1.55952</v>
      </c>
      <c r="J13" s="126"/>
    </row>
    <row r="14" spans="1:10" s="2" customFormat="1">
      <c r="A14" s="124"/>
      <c r="B14" s="50" t="s">
        <v>146</v>
      </c>
      <c r="C14" s="19">
        <v>13</v>
      </c>
      <c r="D14" s="25">
        <v>2600</v>
      </c>
      <c r="E14" s="19">
        <v>3278</v>
      </c>
      <c r="F14" s="110" t="s">
        <v>149</v>
      </c>
      <c r="G14" s="111"/>
      <c r="H14" s="112"/>
      <c r="I14" s="12">
        <f>140*140*12000/1000000000*C14</f>
        <v>3.0575999999999999</v>
      </c>
      <c r="J14" s="126"/>
    </row>
    <row r="15" spans="1:10" s="2" customFormat="1">
      <c r="A15" s="124"/>
      <c r="B15" s="50" t="s">
        <v>146</v>
      </c>
      <c r="C15" s="19">
        <v>17</v>
      </c>
      <c r="D15" s="25">
        <v>630</v>
      </c>
      <c r="E15" s="19">
        <v>916</v>
      </c>
      <c r="F15" s="110" t="s">
        <v>150</v>
      </c>
      <c r="G15" s="111"/>
      <c r="H15" s="112"/>
      <c r="I15" s="12">
        <f>48*48*12000/1000000000*C15</f>
        <v>0.47001599999999999</v>
      </c>
      <c r="J15" s="126"/>
    </row>
    <row r="16" spans="1:10" s="2" customFormat="1">
      <c r="A16" s="127"/>
      <c r="B16" s="50" t="s">
        <v>146</v>
      </c>
      <c r="C16" s="19">
        <v>3</v>
      </c>
      <c r="D16" s="25">
        <v>794</v>
      </c>
      <c r="E16" s="19">
        <v>994</v>
      </c>
      <c r="F16" s="110" t="s">
        <v>151</v>
      </c>
      <c r="G16" s="111"/>
      <c r="H16" s="112"/>
      <c r="I16" s="12">
        <f>168*168*12000/1000000000*C16</f>
        <v>1.0160640000000001</v>
      </c>
      <c r="J16" s="128"/>
    </row>
    <row r="17" spans="1:10" s="2" customFormat="1" ht="14.1" customHeight="1">
      <c r="A17" s="123" t="s">
        <v>152</v>
      </c>
      <c r="B17" s="50" t="s">
        <v>146</v>
      </c>
      <c r="C17" s="19">
        <v>16</v>
      </c>
      <c r="D17" s="19">
        <v>7800</v>
      </c>
      <c r="E17" s="19">
        <v>8495</v>
      </c>
      <c r="F17" s="110" t="s">
        <v>153</v>
      </c>
      <c r="G17" s="111"/>
      <c r="H17" s="112"/>
      <c r="I17" s="12">
        <f>273*273*12000/1000000000*C17</f>
        <v>14.309568000000001</v>
      </c>
      <c r="J17" s="125" t="s">
        <v>212</v>
      </c>
    </row>
    <row r="18" spans="1:10" s="2" customFormat="1" ht="14.1">
      <c r="A18" s="124"/>
      <c r="B18" s="50" t="s">
        <v>146</v>
      </c>
      <c r="C18" s="19">
        <v>77</v>
      </c>
      <c r="D18" s="19">
        <v>4000</v>
      </c>
      <c r="E18" s="19">
        <v>4862</v>
      </c>
      <c r="F18" s="110" t="s">
        <v>154</v>
      </c>
      <c r="G18" s="111"/>
      <c r="H18" s="112"/>
      <c r="I18" s="12">
        <f>60*60*12000/1000000000*C18</f>
        <v>3.3264</v>
      </c>
      <c r="J18" s="126"/>
    </row>
    <row r="19" spans="1:10" s="2" customFormat="1" ht="14.1">
      <c r="A19" s="124"/>
      <c r="B19" s="50" t="s">
        <v>146</v>
      </c>
      <c r="C19" s="19">
        <v>8</v>
      </c>
      <c r="D19" s="19">
        <v>2750</v>
      </c>
      <c r="E19" s="19">
        <v>3090</v>
      </c>
      <c r="F19" s="110" t="s">
        <v>155</v>
      </c>
      <c r="G19" s="111"/>
      <c r="H19" s="112"/>
      <c r="I19" s="12">
        <v>3.08</v>
      </c>
      <c r="J19" s="126"/>
    </row>
    <row r="20" spans="1:10" s="2" customFormat="1" ht="14.1">
      <c r="A20" s="127"/>
      <c r="B20" s="50" t="s">
        <v>146</v>
      </c>
      <c r="C20" s="19">
        <v>5</v>
      </c>
      <c r="D20" s="19">
        <v>3600</v>
      </c>
      <c r="E20" s="19">
        <v>4260</v>
      </c>
      <c r="F20" s="110" t="s">
        <v>156</v>
      </c>
      <c r="G20" s="111"/>
      <c r="H20" s="112"/>
      <c r="I20" s="12">
        <f>356*356*12000/1000000000*C20</f>
        <v>7.6041600000000003</v>
      </c>
      <c r="J20" s="128"/>
    </row>
    <row r="21" spans="1:10" s="2" customFormat="1" ht="30.6">
      <c r="A21" s="51" t="s">
        <v>157</v>
      </c>
      <c r="B21" s="50" t="s">
        <v>146</v>
      </c>
      <c r="C21" s="19">
        <v>25</v>
      </c>
      <c r="D21" s="19">
        <v>18500</v>
      </c>
      <c r="E21" s="19">
        <v>22000</v>
      </c>
      <c r="F21" s="110" t="s">
        <v>156</v>
      </c>
      <c r="G21" s="111"/>
      <c r="H21" s="112"/>
      <c r="I21" s="12">
        <f>356*356*12000/1000000000*C21</f>
        <v>38.020800000000001</v>
      </c>
      <c r="J21" s="12" t="s">
        <v>212</v>
      </c>
    </row>
    <row r="22" spans="1:10" s="2" customFormat="1" ht="30.6">
      <c r="A22" s="51" t="s">
        <v>158</v>
      </c>
      <c r="B22" s="50" t="s">
        <v>146</v>
      </c>
      <c r="C22" s="19">
        <v>29</v>
      </c>
      <c r="D22" s="19">
        <v>18500</v>
      </c>
      <c r="E22" s="19">
        <v>20000</v>
      </c>
      <c r="F22" s="110" t="s">
        <v>159</v>
      </c>
      <c r="G22" s="111"/>
      <c r="H22" s="112"/>
      <c r="I22" s="12">
        <f>325*325*12000/1000000000*C22</f>
        <v>36.7575</v>
      </c>
      <c r="J22" s="12" t="s">
        <v>212</v>
      </c>
    </row>
    <row r="23" spans="1:10" s="2" customFormat="1" ht="13.5" customHeight="1">
      <c r="A23" s="123" t="s">
        <v>160</v>
      </c>
      <c r="B23" s="50" t="s">
        <v>146</v>
      </c>
      <c r="C23" s="19">
        <v>10</v>
      </c>
      <c r="D23" s="19">
        <v>96</v>
      </c>
      <c r="E23" s="19">
        <v>96</v>
      </c>
      <c r="F23" s="119" t="s">
        <v>161</v>
      </c>
      <c r="G23" s="119"/>
      <c r="H23" s="119"/>
      <c r="I23" s="12">
        <f>21.3*21.3*6000/1000000000*C23</f>
        <v>2.7221400000000007E-2</v>
      </c>
      <c r="J23" s="125" t="s">
        <v>212</v>
      </c>
    </row>
    <row r="24" spans="1:10" s="2" customFormat="1" ht="14.1">
      <c r="A24" s="124"/>
      <c r="B24" s="50" t="s">
        <v>146</v>
      </c>
      <c r="C24" s="19">
        <v>21</v>
      </c>
      <c r="D24" s="19">
        <v>150</v>
      </c>
      <c r="E24" s="19">
        <v>181</v>
      </c>
      <c r="F24" s="119" t="s">
        <v>162</v>
      </c>
      <c r="G24" s="119"/>
      <c r="H24" s="119"/>
      <c r="I24" s="12">
        <f>26.7*26.7*6000/1000000000*C24</f>
        <v>8.9824139999999997E-2</v>
      </c>
      <c r="J24" s="126"/>
    </row>
    <row r="25" spans="1:10" s="2" customFormat="1" ht="14.1">
      <c r="A25" s="124"/>
      <c r="B25" s="50" t="s">
        <v>146</v>
      </c>
      <c r="C25" s="19">
        <v>156</v>
      </c>
      <c r="D25" s="19">
        <v>1500</v>
      </c>
      <c r="E25" s="19">
        <v>2106</v>
      </c>
      <c r="F25" s="119" t="s">
        <v>163</v>
      </c>
      <c r="G25" s="119"/>
      <c r="H25" s="119"/>
      <c r="I25" s="12">
        <f>34*34*6000/1000000000*C25</f>
        <v>1.0820160000000001</v>
      </c>
      <c r="J25" s="126"/>
    </row>
    <row r="26" spans="1:10" s="2" customFormat="1" ht="14.1">
      <c r="A26" s="124"/>
      <c r="B26" s="50" t="s">
        <v>146</v>
      </c>
      <c r="C26" s="19">
        <v>7</v>
      </c>
      <c r="D26" s="17">
        <v>1533</v>
      </c>
      <c r="E26" s="19">
        <v>1733</v>
      </c>
      <c r="F26" s="61" t="s">
        <v>164</v>
      </c>
      <c r="G26" s="61"/>
      <c r="H26" s="61"/>
      <c r="I26" s="18">
        <f>48*48*6000/1000000000*C26</f>
        <v>9.6767999999999993E-2</v>
      </c>
      <c r="J26" s="126"/>
    </row>
    <row r="27" spans="1:10" s="2" customFormat="1" ht="14.1">
      <c r="A27" s="124"/>
      <c r="B27" s="50" t="s">
        <v>146</v>
      </c>
      <c r="C27" s="19">
        <v>2</v>
      </c>
      <c r="D27" s="17">
        <v>200</v>
      </c>
      <c r="E27" s="19">
        <v>224</v>
      </c>
      <c r="F27" s="61" t="s">
        <v>165</v>
      </c>
      <c r="G27" s="61"/>
      <c r="H27" s="61"/>
      <c r="I27" s="18">
        <f>114*114*6000/1000000000*C27</f>
        <v>0.15595200000000001</v>
      </c>
      <c r="J27" s="126"/>
    </row>
    <row r="28" spans="1:10" s="2" customFormat="1" ht="14.1">
      <c r="A28" s="124"/>
      <c r="B28" s="50" t="s">
        <v>146</v>
      </c>
      <c r="C28" s="19">
        <v>2</v>
      </c>
      <c r="D28" s="17">
        <v>260</v>
      </c>
      <c r="E28" s="19">
        <v>285</v>
      </c>
      <c r="F28" s="61" t="s">
        <v>166</v>
      </c>
      <c r="G28" s="61"/>
      <c r="H28" s="61"/>
      <c r="I28" s="18">
        <f>140*140*6000/100000000*C28</f>
        <v>2.3519999999999999</v>
      </c>
      <c r="J28" s="126"/>
    </row>
    <row r="29" spans="1:10" s="2" customFormat="1" ht="14.1">
      <c r="A29" s="124"/>
      <c r="B29" s="50" t="s">
        <v>146</v>
      </c>
      <c r="C29" s="19">
        <v>31</v>
      </c>
      <c r="D29" s="17">
        <v>1162</v>
      </c>
      <c r="E29" s="19">
        <v>1461</v>
      </c>
      <c r="F29" s="119" t="s">
        <v>167</v>
      </c>
      <c r="G29" s="119"/>
      <c r="H29" s="119"/>
      <c r="I29" s="18">
        <f>89*89*6000/1000000000*C29</f>
        <v>1.473306</v>
      </c>
      <c r="J29" s="126"/>
    </row>
    <row r="30" spans="1:10" s="2" customFormat="1" ht="14.1">
      <c r="A30" s="124"/>
      <c r="B30" s="50" t="s">
        <v>146</v>
      </c>
      <c r="C30" s="19">
        <v>61</v>
      </c>
      <c r="D30" s="23">
        <v>2600</v>
      </c>
      <c r="E30" s="21">
        <v>3195</v>
      </c>
      <c r="F30" s="110" t="s">
        <v>168</v>
      </c>
      <c r="G30" s="111"/>
      <c r="H30" s="112"/>
      <c r="I30" s="22">
        <v>5.45</v>
      </c>
      <c r="J30" s="126"/>
    </row>
    <row r="31" spans="1:10" s="2" customFormat="1" ht="14.1">
      <c r="A31" s="124"/>
      <c r="B31" s="50" t="s">
        <v>146</v>
      </c>
      <c r="C31" s="19">
        <v>87</v>
      </c>
      <c r="D31" s="23">
        <v>1638</v>
      </c>
      <c r="E31" s="21">
        <v>1968</v>
      </c>
      <c r="F31" s="110" t="s">
        <v>169</v>
      </c>
      <c r="G31" s="111"/>
      <c r="H31" s="112"/>
      <c r="I31" s="22">
        <v>3.19</v>
      </c>
      <c r="J31" s="126"/>
    </row>
    <row r="32" spans="1:10" s="2" customFormat="1" ht="14.1">
      <c r="A32" s="117" t="s">
        <v>170</v>
      </c>
      <c r="B32" s="50" t="s">
        <v>146</v>
      </c>
      <c r="C32" s="19">
        <v>553</v>
      </c>
      <c r="D32" s="23">
        <v>6091</v>
      </c>
      <c r="E32" s="23">
        <v>7083</v>
      </c>
      <c r="F32" s="120" t="s">
        <v>171</v>
      </c>
      <c r="G32" s="121"/>
      <c r="H32" s="122"/>
      <c r="I32" s="22">
        <f>38*38*6000/1000000000*C32</f>
        <v>4.7911919999999997</v>
      </c>
      <c r="J32" s="72" t="s">
        <v>212</v>
      </c>
    </row>
    <row r="33" spans="1:10" s="2" customFormat="1" ht="14.1">
      <c r="A33" s="117"/>
      <c r="B33" s="50" t="s">
        <v>146</v>
      </c>
      <c r="C33" s="19">
        <v>312</v>
      </c>
      <c r="D33" s="17">
        <v>4800</v>
      </c>
      <c r="E33" s="23">
        <v>5471</v>
      </c>
      <c r="F33" s="110" t="s">
        <v>172</v>
      </c>
      <c r="G33" s="111"/>
      <c r="H33" s="112"/>
      <c r="I33" s="18">
        <v>7.91</v>
      </c>
      <c r="J33" s="72"/>
    </row>
    <row r="34" spans="1:10" s="2" customFormat="1" ht="14.1">
      <c r="A34" s="117"/>
      <c r="B34" s="50" t="s">
        <v>146</v>
      </c>
      <c r="C34" s="19">
        <v>50</v>
      </c>
      <c r="D34" s="17">
        <v>3800</v>
      </c>
      <c r="E34" s="23">
        <v>3411</v>
      </c>
      <c r="F34" s="110" t="s">
        <v>173</v>
      </c>
      <c r="G34" s="111"/>
      <c r="H34" s="112"/>
      <c r="I34" s="18">
        <v>11.32</v>
      </c>
      <c r="J34" s="72"/>
    </row>
    <row r="35" spans="1:10" s="2" customFormat="1" ht="14.1">
      <c r="A35" s="117"/>
      <c r="B35" s="50" t="s">
        <v>146</v>
      </c>
      <c r="C35" s="19">
        <v>28</v>
      </c>
      <c r="D35" s="17">
        <v>810</v>
      </c>
      <c r="E35" s="23">
        <v>810</v>
      </c>
      <c r="F35" s="110" t="s">
        <v>174</v>
      </c>
      <c r="G35" s="111"/>
      <c r="H35" s="112"/>
      <c r="I35" s="18">
        <v>2.2999999999999998</v>
      </c>
      <c r="J35" s="72"/>
    </row>
    <row r="36" spans="1:10" s="2" customFormat="1" ht="14.1">
      <c r="A36" s="117"/>
      <c r="B36" s="50" t="s">
        <v>146</v>
      </c>
      <c r="C36" s="19">
        <v>1</v>
      </c>
      <c r="D36" s="19">
        <v>500</v>
      </c>
      <c r="E36" s="19">
        <v>638</v>
      </c>
      <c r="F36" s="110" t="s">
        <v>175</v>
      </c>
      <c r="G36" s="111"/>
      <c r="H36" s="112"/>
      <c r="I36" s="18">
        <f>1.2*1.2*1.5</f>
        <v>2.16</v>
      </c>
      <c r="J36" s="72"/>
    </row>
    <row r="37" spans="1:10" s="2" customFormat="1" ht="14.1">
      <c r="A37" s="117"/>
      <c r="B37" s="50" t="s">
        <v>146</v>
      </c>
      <c r="C37" s="19">
        <v>1</v>
      </c>
      <c r="D37" s="19">
        <v>250</v>
      </c>
      <c r="E37" s="19">
        <v>308</v>
      </c>
      <c r="F37" s="110" t="s">
        <v>176</v>
      </c>
      <c r="G37" s="111"/>
      <c r="H37" s="112"/>
      <c r="I37" s="18">
        <f>1.2*1.2*0.87</f>
        <v>1.2527999999999999</v>
      </c>
      <c r="J37" s="72"/>
    </row>
    <row r="38" spans="1:10" s="2" customFormat="1" ht="14.1">
      <c r="A38" s="117"/>
      <c r="B38" s="50" t="s">
        <v>146</v>
      </c>
      <c r="C38" s="19">
        <v>1</v>
      </c>
      <c r="D38" s="19">
        <v>300</v>
      </c>
      <c r="E38" s="19">
        <v>418</v>
      </c>
      <c r="F38" s="110" t="s">
        <v>175</v>
      </c>
      <c r="G38" s="111"/>
      <c r="H38" s="112"/>
      <c r="I38" s="18">
        <f>1.2*1.2*1.5</f>
        <v>2.16</v>
      </c>
      <c r="J38" s="72"/>
    </row>
    <row r="39" spans="1:10" s="2" customFormat="1" ht="14.1">
      <c r="A39" s="118"/>
      <c r="B39" s="50" t="s">
        <v>146</v>
      </c>
      <c r="C39" s="19">
        <v>1</v>
      </c>
      <c r="D39" s="19">
        <v>300</v>
      </c>
      <c r="E39" s="19">
        <v>418</v>
      </c>
      <c r="F39" s="110" t="s">
        <v>177</v>
      </c>
      <c r="G39" s="111"/>
      <c r="H39" s="112"/>
      <c r="I39" s="18">
        <f>1.2*1.2*1.4</f>
        <v>2.016</v>
      </c>
      <c r="J39" s="73"/>
    </row>
    <row r="40" spans="1:10" s="2" customFormat="1" ht="13.5" customHeight="1">
      <c r="A40" s="116" t="s">
        <v>178</v>
      </c>
      <c r="B40" s="50" t="s">
        <v>146</v>
      </c>
      <c r="C40" s="19">
        <v>1</v>
      </c>
      <c r="D40" s="19">
        <v>250</v>
      </c>
      <c r="E40" s="19">
        <v>300</v>
      </c>
      <c r="F40" s="110" t="s">
        <v>179</v>
      </c>
      <c r="G40" s="111"/>
      <c r="H40" s="112"/>
      <c r="I40" s="18">
        <f>1.05*1.05*1.2</f>
        <v>1.323</v>
      </c>
      <c r="J40" s="71" t="s">
        <v>212</v>
      </c>
    </row>
    <row r="41" spans="1:10" s="2" customFormat="1" ht="13.5" customHeight="1">
      <c r="A41" s="117"/>
      <c r="B41" s="50" t="s">
        <v>146</v>
      </c>
      <c r="C41" s="19">
        <v>1</v>
      </c>
      <c r="D41" s="19">
        <v>300</v>
      </c>
      <c r="E41" s="19">
        <v>350</v>
      </c>
      <c r="F41" s="110" t="s">
        <v>179</v>
      </c>
      <c r="G41" s="111"/>
      <c r="H41" s="112"/>
      <c r="I41" s="18">
        <f t="shared" ref="I41:I42" si="0">1.05*1.05*1.2</f>
        <v>1.323</v>
      </c>
      <c r="J41" s="72"/>
    </row>
    <row r="42" spans="1:10" s="2" customFormat="1" ht="13.5" customHeight="1">
      <c r="A42" s="117"/>
      <c r="B42" s="50" t="s">
        <v>146</v>
      </c>
      <c r="C42" s="19">
        <v>1</v>
      </c>
      <c r="D42" s="19">
        <v>250</v>
      </c>
      <c r="E42" s="19">
        <v>300</v>
      </c>
      <c r="F42" s="110" t="s">
        <v>179</v>
      </c>
      <c r="G42" s="111"/>
      <c r="H42" s="112"/>
      <c r="I42" s="18">
        <f t="shared" si="0"/>
        <v>1.323</v>
      </c>
      <c r="J42" s="72"/>
    </row>
    <row r="43" spans="1:10" s="2" customFormat="1" ht="14.1">
      <c r="A43" s="117"/>
      <c r="B43" s="50" t="s">
        <v>146</v>
      </c>
      <c r="C43" s="19">
        <v>1</v>
      </c>
      <c r="D43" s="19">
        <v>800</v>
      </c>
      <c r="E43" s="19">
        <v>1000</v>
      </c>
      <c r="F43" s="110" t="s">
        <v>180</v>
      </c>
      <c r="G43" s="111"/>
      <c r="H43" s="112"/>
      <c r="I43" s="18">
        <f>0.56*0.56*0.49</f>
        <v>0.15366400000000002</v>
      </c>
      <c r="J43" s="72"/>
    </row>
    <row r="44" spans="1:10" s="2" customFormat="1" ht="14.1">
      <c r="A44" s="117"/>
      <c r="B44" s="50" t="s">
        <v>146</v>
      </c>
      <c r="C44" s="19">
        <v>1</v>
      </c>
      <c r="D44" s="19">
        <v>800</v>
      </c>
      <c r="E44" s="19">
        <v>1000</v>
      </c>
      <c r="F44" s="110" t="s">
        <v>181</v>
      </c>
      <c r="G44" s="111"/>
      <c r="H44" s="112"/>
      <c r="I44" s="18">
        <f>0.96*0.96*0.48</f>
        <v>0.44236799999999998</v>
      </c>
      <c r="J44" s="72"/>
    </row>
    <row r="45" spans="1:10" s="2" customFormat="1" ht="14.1">
      <c r="A45" s="117"/>
      <c r="B45" s="50" t="s">
        <v>146</v>
      </c>
      <c r="C45" s="19">
        <v>1</v>
      </c>
      <c r="D45" s="19">
        <v>650</v>
      </c>
      <c r="E45" s="19">
        <v>714</v>
      </c>
      <c r="F45" s="110" t="s">
        <v>182</v>
      </c>
      <c r="G45" s="111"/>
      <c r="H45" s="112"/>
      <c r="I45" s="18">
        <f>1*1*0.5</f>
        <v>0.5</v>
      </c>
      <c r="J45" s="72"/>
    </row>
    <row r="46" spans="1:10" s="2" customFormat="1" ht="14.1">
      <c r="A46" s="117"/>
      <c r="B46" s="50" t="s">
        <v>146</v>
      </c>
      <c r="C46" s="19">
        <v>1</v>
      </c>
      <c r="D46" s="19">
        <v>610</v>
      </c>
      <c r="E46" s="19">
        <v>669</v>
      </c>
      <c r="F46" s="110" t="s">
        <v>182</v>
      </c>
      <c r="G46" s="111"/>
      <c r="H46" s="112"/>
      <c r="I46" s="18">
        <f>1*1*0.5</f>
        <v>0.5</v>
      </c>
      <c r="J46" s="72"/>
    </row>
    <row r="47" spans="1:10" s="2" customFormat="1" ht="14.1">
      <c r="A47" s="117"/>
      <c r="B47" s="50" t="s">
        <v>146</v>
      </c>
      <c r="C47" s="19">
        <v>1</v>
      </c>
      <c r="D47" s="19">
        <v>1100</v>
      </c>
      <c r="E47" s="19">
        <v>1436</v>
      </c>
      <c r="F47" s="110" t="s">
        <v>182</v>
      </c>
      <c r="G47" s="111"/>
      <c r="H47" s="112"/>
      <c r="I47" s="18">
        <f>1*1*0.5</f>
        <v>0.5</v>
      </c>
      <c r="J47" s="72"/>
    </row>
    <row r="48" spans="1:10" s="2" customFormat="1" ht="14.1">
      <c r="A48" s="117"/>
      <c r="B48" s="50" t="s">
        <v>146</v>
      </c>
      <c r="C48" s="19">
        <v>1</v>
      </c>
      <c r="D48" s="19">
        <v>800</v>
      </c>
      <c r="E48" s="19">
        <v>1080</v>
      </c>
      <c r="F48" s="110" t="s">
        <v>183</v>
      </c>
      <c r="G48" s="111"/>
      <c r="H48" s="112"/>
      <c r="I48" s="18">
        <v>1</v>
      </c>
      <c r="J48" s="72"/>
    </row>
    <row r="49" spans="1:10" s="2" customFormat="1" ht="14.1">
      <c r="A49" s="117"/>
      <c r="B49" s="50" t="s">
        <v>146</v>
      </c>
      <c r="C49" s="19">
        <v>1</v>
      </c>
      <c r="D49" s="19">
        <v>700</v>
      </c>
      <c r="E49" s="19">
        <v>821</v>
      </c>
      <c r="F49" s="110" t="s">
        <v>183</v>
      </c>
      <c r="G49" s="111"/>
      <c r="H49" s="112"/>
      <c r="I49" s="18">
        <v>1</v>
      </c>
      <c r="J49" s="72"/>
    </row>
    <row r="50" spans="1:10" s="2" customFormat="1" ht="24" customHeight="1">
      <c r="A50" s="117"/>
      <c r="B50" s="50" t="s">
        <v>146</v>
      </c>
      <c r="C50" s="19">
        <v>1</v>
      </c>
      <c r="D50" s="19">
        <v>110</v>
      </c>
      <c r="E50" s="19">
        <v>145</v>
      </c>
      <c r="F50" s="110" t="s">
        <v>184</v>
      </c>
      <c r="G50" s="111"/>
      <c r="H50" s="112"/>
      <c r="I50" s="18">
        <f>0.7*0.7*0.5</f>
        <v>0.24499999999999997</v>
      </c>
      <c r="J50" s="72"/>
    </row>
    <row r="51" spans="1:10" s="2" customFormat="1" ht="24" customHeight="1">
      <c r="A51" s="117"/>
      <c r="B51" s="50" t="s">
        <v>146</v>
      </c>
      <c r="C51" s="19">
        <v>1</v>
      </c>
      <c r="D51" s="19">
        <v>300</v>
      </c>
      <c r="E51" s="19">
        <v>363</v>
      </c>
      <c r="F51" s="110" t="s">
        <v>183</v>
      </c>
      <c r="G51" s="111"/>
      <c r="H51" s="112"/>
      <c r="I51" s="18">
        <v>1</v>
      </c>
      <c r="J51" s="72"/>
    </row>
    <row r="52" spans="1:10" s="2" customFormat="1" ht="24.75" customHeight="1">
      <c r="A52" s="117"/>
      <c r="B52" s="50" t="s">
        <v>146</v>
      </c>
      <c r="C52" s="19">
        <v>1</v>
      </c>
      <c r="D52" s="19">
        <v>300</v>
      </c>
      <c r="E52" s="19">
        <v>390</v>
      </c>
      <c r="F52" s="110" t="s">
        <v>185</v>
      </c>
      <c r="G52" s="111"/>
      <c r="H52" s="112"/>
      <c r="I52" s="18">
        <f>1.2*1.2*1.1</f>
        <v>1.5840000000000001</v>
      </c>
      <c r="J52" s="72"/>
    </row>
    <row r="53" spans="1:10" s="2" customFormat="1" ht="15" customHeight="1">
      <c r="A53" s="117"/>
      <c r="B53" s="50" t="s">
        <v>146</v>
      </c>
      <c r="C53" s="19">
        <v>1</v>
      </c>
      <c r="D53" s="19">
        <v>300</v>
      </c>
      <c r="E53" s="19">
        <v>425</v>
      </c>
      <c r="F53" s="110" t="s">
        <v>186</v>
      </c>
      <c r="G53" s="111"/>
      <c r="H53" s="112"/>
      <c r="I53" s="18">
        <f>1.2*1.2*1.2</f>
        <v>1.728</v>
      </c>
      <c r="J53" s="72"/>
    </row>
    <row r="54" spans="1:10" s="2" customFormat="1" ht="14.25" customHeight="1">
      <c r="A54" s="117"/>
      <c r="B54" s="50" t="s">
        <v>146</v>
      </c>
      <c r="C54" s="19">
        <v>1</v>
      </c>
      <c r="D54" s="19">
        <v>550</v>
      </c>
      <c r="E54" s="19">
        <v>638</v>
      </c>
      <c r="F54" s="110" t="s">
        <v>175</v>
      </c>
      <c r="G54" s="111"/>
      <c r="H54" s="112"/>
      <c r="I54" s="18">
        <f>1.2*1.2*1.5</f>
        <v>2.16</v>
      </c>
      <c r="J54" s="72"/>
    </row>
    <row r="55" spans="1:10" s="2" customFormat="1" ht="14.1">
      <c r="A55" s="117"/>
      <c r="B55" s="50" t="s">
        <v>146</v>
      </c>
      <c r="C55" s="19">
        <v>1</v>
      </c>
      <c r="D55" s="19">
        <v>550</v>
      </c>
      <c r="E55" s="19">
        <v>638</v>
      </c>
      <c r="F55" s="110" t="s">
        <v>175</v>
      </c>
      <c r="G55" s="111"/>
      <c r="H55" s="112"/>
      <c r="I55" s="18">
        <f>1.2*1.2*1.5</f>
        <v>2.16</v>
      </c>
      <c r="J55" s="72"/>
    </row>
    <row r="56" spans="1:10" s="2" customFormat="1" ht="14.1">
      <c r="A56" s="117"/>
      <c r="B56" s="50" t="s">
        <v>146</v>
      </c>
      <c r="C56" s="19">
        <v>1</v>
      </c>
      <c r="D56" s="19">
        <v>280</v>
      </c>
      <c r="E56" s="19">
        <v>337</v>
      </c>
      <c r="F56" s="110" t="s">
        <v>187</v>
      </c>
      <c r="G56" s="111"/>
      <c r="H56" s="112"/>
      <c r="I56" s="18">
        <f>1.2*1.2*0.75</f>
        <v>1.08</v>
      </c>
      <c r="J56" s="72"/>
    </row>
    <row r="57" spans="1:10" s="2" customFormat="1" ht="14.1">
      <c r="A57" s="117"/>
      <c r="B57" s="50" t="s">
        <v>146</v>
      </c>
      <c r="C57" s="19">
        <v>1</v>
      </c>
      <c r="D57" s="17">
        <v>3500</v>
      </c>
      <c r="E57" s="19">
        <v>4000</v>
      </c>
      <c r="F57" s="110" t="s">
        <v>188</v>
      </c>
      <c r="G57" s="111"/>
      <c r="H57" s="112"/>
      <c r="I57" s="18">
        <v>2</v>
      </c>
      <c r="J57" s="72"/>
    </row>
    <row r="58" spans="1:10" s="2" customFormat="1" ht="13.5" customHeight="1">
      <c r="A58" s="117"/>
      <c r="B58" s="50" t="s">
        <v>146</v>
      </c>
      <c r="C58" s="19">
        <v>1</v>
      </c>
      <c r="D58" s="17">
        <v>350</v>
      </c>
      <c r="E58" s="19">
        <v>400</v>
      </c>
      <c r="F58" s="110" t="s">
        <v>189</v>
      </c>
      <c r="G58" s="111"/>
      <c r="H58" s="112"/>
      <c r="I58" s="18">
        <v>0.83</v>
      </c>
      <c r="J58" s="72"/>
    </row>
    <row r="59" spans="1:10" s="2" customFormat="1" ht="24" customHeight="1">
      <c r="A59" s="117"/>
      <c r="B59" s="50" t="s">
        <v>146</v>
      </c>
      <c r="C59" s="19">
        <v>1</v>
      </c>
      <c r="D59" s="17">
        <v>100</v>
      </c>
      <c r="E59" s="19">
        <v>150</v>
      </c>
      <c r="F59" s="110" t="s">
        <v>190</v>
      </c>
      <c r="G59" s="111"/>
      <c r="H59" s="112"/>
      <c r="I59" s="18">
        <f>1.3*0.8*0.7</f>
        <v>0.72799999999999998</v>
      </c>
      <c r="J59" s="72"/>
    </row>
    <row r="60" spans="1:10" s="2" customFormat="1" ht="24" customHeight="1">
      <c r="A60" s="117"/>
      <c r="B60" s="50" t="s">
        <v>146</v>
      </c>
      <c r="C60" s="19">
        <v>1</v>
      </c>
      <c r="D60" s="17">
        <v>100</v>
      </c>
      <c r="E60" s="19">
        <v>150</v>
      </c>
      <c r="F60" s="110" t="s">
        <v>191</v>
      </c>
      <c r="G60" s="111"/>
      <c r="H60" s="112"/>
      <c r="I60" s="18">
        <f>1.05*1.05*1.2</f>
        <v>1.323</v>
      </c>
      <c r="J60" s="72"/>
    </row>
    <row r="61" spans="1:10" s="2" customFormat="1" ht="24" customHeight="1">
      <c r="A61" s="117"/>
      <c r="B61" s="50" t="s">
        <v>146</v>
      </c>
      <c r="C61" s="19">
        <v>1</v>
      </c>
      <c r="D61" s="17">
        <v>100</v>
      </c>
      <c r="E61" s="19">
        <v>150</v>
      </c>
      <c r="F61" s="110" t="s">
        <v>192</v>
      </c>
      <c r="G61" s="111"/>
      <c r="H61" s="112"/>
      <c r="I61" s="18">
        <v>1.32</v>
      </c>
      <c r="J61" s="72"/>
    </row>
    <row r="62" spans="1:10" s="2" customFormat="1" ht="20.25" customHeight="1">
      <c r="A62" s="117"/>
      <c r="B62" s="50" t="s">
        <v>146</v>
      </c>
      <c r="C62" s="19">
        <v>1</v>
      </c>
      <c r="D62" s="17">
        <v>150</v>
      </c>
      <c r="E62" s="19">
        <v>218</v>
      </c>
      <c r="F62" s="110" t="s">
        <v>193</v>
      </c>
      <c r="G62" s="111"/>
      <c r="H62" s="112"/>
      <c r="I62" s="18">
        <f>1.545*0.73*0.615</f>
        <v>0.69362774999999999</v>
      </c>
      <c r="J62" s="72"/>
    </row>
    <row r="63" spans="1:10" s="2" customFormat="1" ht="20.25" customHeight="1">
      <c r="A63" s="117"/>
      <c r="B63" s="50" t="s">
        <v>146</v>
      </c>
      <c r="C63" s="19">
        <v>1</v>
      </c>
      <c r="D63" s="17">
        <v>200</v>
      </c>
      <c r="E63" s="19">
        <v>300</v>
      </c>
      <c r="F63" s="110" t="s">
        <v>194</v>
      </c>
      <c r="G63" s="111"/>
      <c r="H63" s="112"/>
      <c r="I63" s="18">
        <f>0.9*0.55*0.58</f>
        <v>0.28710000000000002</v>
      </c>
      <c r="J63" s="72"/>
    </row>
    <row r="64" spans="1:10" s="2" customFormat="1" ht="20.25" customHeight="1">
      <c r="A64" s="118"/>
      <c r="B64" s="50" t="s">
        <v>146</v>
      </c>
      <c r="C64" s="19">
        <v>1</v>
      </c>
      <c r="D64" s="17">
        <v>786</v>
      </c>
      <c r="E64" s="19">
        <v>1030</v>
      </c>
      <c r="F64" s="110" t="s">
        <v>195</v>
      </c>
      <c r="G64" s="111"/>
      <c r="H64" s="112"/>
      <c r="I64" s="18">
        <f>1.2*0.85*0.83</f>
        <v>0.84660000000000002</v>
      </c>
      <c r="J64" s="73"/>
    </row>
    <row r="65" spans="1:10">
      <c r="A65" s="52"/>
      <c r="B65" s="19" t="s">
        <v>113</v>
      </c>
      <c r="C65" s="17">
        <f>SUM(C10:C64)</f>
        <v>1670</v>
      </c>
      <c r="D65" s="17">
        <f>SUM(D10:D64)</f>
        <v>115000</v>
      </c>
      <c r="E65" s="19">
        <f>SUM(E10:E64)</f>
        <v>132907</v>
      </c>
      <c r="F65" s="113"/>
      <c r="G65" s="114"/>
      <c r="H65" s="115"/>
      <c r="I65" s="18">
        <f>SUM(I10:I64)</f>
        <v>194.96510329</v>
      </c>
      <c r="J65" s="18"/>
    </row>
  </sheetData>
  <mergeCells count="70">
    <mergeCell ref="B2:C3"/>
    <mergeCell ref="I2:J2"/>
    <mergeCell ref="F9:H9"/>
    <mergeCell ref="A10:A16"/>
    <mergeCell ref="F10:H10"/>
    <mergeCell ref="J10:J16"/>
    <mergeCell ref="F11:H11"/>
    <mergeCell ref="F12:H12"/>
    <mergeCell ref="F13:H13"/>
    <mergeCell ref="J17:J20"/>
    <mergeCell ref="F18:H18"/>
    <mergeCell ref="F19:H19"/>
    <mergeCell ref="F20:H20"/>
    <mergeCell ref="D1:F7"/>
    <mergeCell ref="F14:H14"/>
    <mergeCell ref="F15:H15"/>
    <mergeCell ref="F16:H16"/>
    <mergeCell ref="A17:A20"/>
    <mergeCell ref="F17:H17"/>
    <mergeCell ref="F21:H21"/>
    <mergeCell ref="F22:H22"/>
    <mergeCell ref="A23:A31"/>
    <mergeCell ref="F23:H23"/>
    <mergeCell ref="J23:J31"/>
    <mergeCell ref="F24:H24"/>
    <mergeCell ref="F25:H25"/>
    <mergeCell ref="F26:H26"/>
    <mergeCell ref="F27:H27"/>
    <mergeCell ref="F28:H28"/>
    <mergeCell ref="J32:J39"/>
    <mergeCell ref="F33:H33"/>
    <mergeCell ref="F34:H34"/>
    <mergeCell ref="F35:H35"/>
    <mergeCell ref="F36:H36"/>
    <mergeCell ref="F29:H29"/>
    <mergeCell ref="F30:H30"/>
    <mergeCell ref="F31:H31"/>
    <mergeCell ref="A32:A39"/>
    <mergeCell ref="F32:H32"/>
    <mergeCell ref="J40:J64"/>
    <mergeCell ref="F41:H41"/>
    <mergeCell ref="F42:H42"/>
    <mergeCell ref="F43:H43"/>
    <mergeCell ref="F44:H44"/>
    <mergeCell ref="F37:H37"/>
    <mergeCell ref="F38:H38"/>
    <mergeCell ref="F39:H39"/>
    <mergeCell ref="A40:A64"/>
    <mergeCell ref="F40:H40"/>
    <mergeCell ref="F56:H56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63:H63"/>
    <mergeCell ref="F64:H64"/>
    <mergeCell ref="F65:H65"/>
    <mergeCell ref="F57:H57"/>
    <mergeCell ref="F58:H58"/>
    <mergeCell ref="F59:H59"/>
    <mergeCell ref="F60:H60"/>
    <mergeCell ref="F61:H61"/>
    <mergeCell ref="F62:H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02A-FD1B-4FB7-A866-BCDFBA895BA4}">
  <dimension ref="A1:R24"/>
  <sheetViews>
    <sheetView workbookViewId="0">
      <selection activeCell="B23" sqref="B23:F23"/>
    </sheetView>
  </sheetViews>
  <sheetFormatPr defaultColWidth="9.05078125" defaultRowHeight="14.4"/>
  <cols>
    <col min="1" max="1" width="8" style="27" customWidth="1"/>
    <col min="2" max="2" width="13.9453125" style="27" customWidth="1"/>
    <col min="3" max="3" width="7.47265625" style="27" customWidth="1"/>
    <col min="4" max="4" width="7.3671875" style="27" customWidth="1"/>
    <col min="5" max="5" width="1.41796875" style="27" customWidth="1"/>
    <col min="6" max="6" width="1.9453125" style="27" customWidth="1"/>
    <col min="7" max="7" width="8" style="27" customWidth="1"/>
    <col min="8" max="8" width="11.68359375" style="27" customWidth="1"/>
    <col min="9" max="9" width="12.20703125" style="27" customWidth="1"/>
    <col min="10" max="10" width="10.26171875" style="27" customWidth="1"/>
    <col min="11" max="11" width="12.47265625" style="27" customWidth="1"/>
    <col min="12" max="12" width="7.89453125" style="27" customWidth="1"/>
    <col min="13" max="13" width="13.26171875" style="27" customWidth="1"/>
    <col min="14" max="14" width="19.83984375" style="27" customWidth="1"/>
    <col min="15" max="15" width="16.68359375" style="27" customWidth="1"/>
    <col min="16" max="256" width="9.05078125" style="27"/>
    <col min="257" max="257" width="8" style="27" customWidth="1"/>
    <col min="258" max="258" width="13.9453125" style="27" customWidth="1"/>
    <col min="259" max="259" width="7.47265625" style="27" customWidth="1"/>
    <col min="260" max="260" width="7.3671875" style="27" customWidth="1"/>
    <col min="261" max="261" width="1.41796875" style="27" customWidth="1"/>
    <col min="262" max="262" width="1.9453125" style="27" customWidth="1"/>
    <col min="263" max="263" width="8" style="27" customWidth="1"/>
    <col min="264" max="264" width="11.68359375" style="27" customWidth="1"/>
    <col min="265" max="265" width="12.20703125" style="27" customWidth="1"/>
    <col min="266" max="266" width="10.26171875" style="27" customWidth="1"/>
    <col min="267" max="267" width="12.47265625" style="27" customWidth="1"/>
    <col min="268" max="268" width="7.89453125" style="27" customWidth="1"/>
    <col min="269" max="269" width="13.26171875" style="27" customWidth="1"/>
    <col min="270" max="270" width="19.83984375" style="27" customWidth="1"/>
    <col min="271" max="271" width="16.68359375" style="27" customWidth="1"/>
    <col min="272" max="512" width="9.05078125" style="27"/>
    <col min="513" max="513" width="8" style="27" customWidth="1"/>
    <col min="514" max="514" width="13.9453125" style="27" customWidth="1"/>
    <col min="515" max="515" width="7.47265625" style="27" customWidth="1"/>
    <col min="516" max="516" width="7.3671875" style="27" customWidth="1"/>
    <col min="517" max="517" width="1.41796875" style="27" customWidth="1"/>
    <col min="518" max="518" width="1.9453125" style="27" customWidth="1"/>
    <col min="519" max="519" width="8" style="27" customWidth="1"/>
    <col min="520" max="520" width="11.68359375" style="27" customWidth="1"/>
    <col min="521" max="521" width="12.20703125" style="27" customWidth="1"/>
    <col min="522" max="522" width="10.26171875" style="27" customWidth="1"/>
    <col min="523" max="523" width="12.47265625" style="27" customWidth="1"/>
    <col min="524" max="524" width="7.89453125" style="27" customWidth="1"/>
    <col min="525" max="525" width="13.26171875" style="27" customWidth="1"/>
    <col min="526" max="526" width="19.83984375" style="27" customWidth="1"/>
    <col min="527" max="527" width="16.68359375" style="27" customWidth="1"/>
    <col min="528" max="768" width="9.05078125" style="27"/>
    <col min="769" max="769" width="8" style="27" customWidth="1"/>
    <col min="770" max="770" width="13.9453125" style="27" customWidth="1"/>
    <col min="771" max="771" width="7.47265625" style="27" customWidth="1"/>
    <col min="772" max="772" width="7.3671875" style="27" customWidth="1"/>
    <col min="773" max="773" width="1.41796875" style="27" customWidth="1"/>
    <col min="774" max="774" width="1.9453125" style="27" customWidth="1"/>
    <col min="775" max="775" width="8" style="27" customWidth="1"/>
    <col min="776" max="776" width="11.68359375" style="27" customWidth="1"/>
    <col min="777" max="777" width="12.20703125" style="27" customWidth="1"/>
    <col min="778" max="778" width="10.26171875" style="27" customWidth="1"/>
    <col min="779" max="779" width="12.47265625" style="27" customWidth="1"/>
    <col min="780" max="780" width="7.89453125" style="27" customWidth="1"/>
    <col min="781" max="781" width="13.26171875" style="27" customWidth="1"/>
    <col min="782" max="782" width="19.83984375" style="27" customWidth="1"/>
    <col min="783" max="783" width="16.68359375" style="27" customWidth="1"/>
    <col min="784" max="1024" width="9.05078125" style="27"/>
    <col min="1025" max="1025" width="8" style="27" customWidth="1"/>
    <col min="1026" max="1026" width="13.9453125" style="27" customWidth="1"/>
    <col min="1027" max="1027" width="7.47265625" style="27" customWidth="1"/>
    <col min="1028" max="1028" width="7.3671875" style="27" customWidth="1"/>
    <col min="1029" max="1029" width="1.41796875" style="27" customWidth="1"/>
    <col min="1030" max="1030" width="1.9453125" style="27" customWidth="1"/>
    <col min="1031" max="1031" width="8" style="27" customWidth="1"/>
    <col min="1032" max="1032" width="11.68359375" style="27" customWidth="1"/>
    <col min="1033" max="1033" width="12.20703125" style="27" customWidth="1"/>
    <col min="1034" max="1034" width="10.26171875" style="27" customWidth="1"/>
    <col min="1035" max="1035" width="12.47265625" style="27" customWidth="1"/>
    <col min="1036" max="1036" width="7.89453125" style="27" customWidth="1"/>
    <col min="1037" max="1037" width="13.26171875" style="27" customWidth="1"/>
    <col min="1038" max="1038" width="19.83984375" style="27" customWidth="1"/>
    <col min="1039" max="1039" width="16.68359375" style="27" customWidth="1"/>
    <col min="1040" max="1280" width="9.05078125" style="27"/>
    <col min="1281" max="1281" width="8" style="27" customWidth="1"/>
    <col min="1282" max="1282" width="13.9453125" style="27" customWidth="1"/>
    <col min="1283" max="1283" width="7.47265625" style="27" customWidth="1"/>
    <col min="1284" max="1284" width="7.3671875" style="27" customWidth="1"/>
    <col min="1285" max="1285" width="1.41796875" style="27" customWidth="1"/>
    <col min="1286" max="1286" width="1.9453125" style="27" customWidth="1"/>
    <col min="1287" max="1287" width="8" style="27" customWidth="1"/>
    <col min="1288" max="1288" width="11.68359375" style="27" customWidth="1"/>
    <col min="1289" max="1289" width="12.20703125" style="27" customWidth="1"/>
    <col min="1290" max="1290" width="10.26171875" style="27" customWidth="1"/>
    <col min="1291" max="1291" width="12.47265625" style="27" customWidth="1"/>
    <col min="1292" max="1292" width="7.89453125" style="27" customWidth="1"/>
    <col min="1293" max="1293" width="13.26171875" style="27" customWidth="1"/>
    <col min="1294" max="1294" width="19.83984375" style="27" customWidth="1"/>
    <col min="1295" max="1295" width="16.68359375" style="27" customWidth="1"/>
    <col min="1296" max="1536" width="9.05078125" style="27"/>
    <col min="1537" max="1537" width="8" style="27" customWidth="1"/>
    <col min="1538" max="1538" width="13.9453125" style="27" customWidth="1"/>
    <col min="1539" max="1539" width="7.47265625" style="27" customWidth="1"/>
    <col min="1540" max="1540" width="7.3671875" style="27" customWidth="1"/>
    <col min="1541" max="1541" width="1.41796875" style="27" customWidth="1"/>
    <col min="1542" max="1542" width="1.9453125" style="27" customWidth="1"/>
    <col min="1543" max="1543" width="8" style="27" customWidth="1"/>
    <col min="1544" max="1544" width="11.68359375" style="27" customWidth="1"/>
    <col min="1545" max="1545" width="12.20703125" style="27" customWidth="1"/>
    <col min="1546" max="1546" width="10.26171875" style="27" customWidth="1"/>
    <col min="1547" max="1547" width="12.47265625" style="27" customWidth="1"/>
    <col min="1548" max="1548" width="7.89453125" style="27" customWidth="1"/>
    <col min="1549" max="1549" width="13.26171875" style="27" customWidth="1"/>
    <col min="1550" max="1550" width="19.83984375" style="27" customWidth="1"/>
    <col min="1551" max="1551" width="16.68359375" style="27" customWidth="1"/>
    <col min="1552" max="1792" width="9.05078125" style="27"/>
    <col min="1793" max="1793" width="8" style="27" customWidth="1"/>
    <col min="1794" max="1794" width="13.9453125" style="27" customWidth="1"/>
    <col min="1795" max="1795" width="7.47265625" style="27" customWidth="1"/>
    <col min="1796" max="1796" width="7.3671875" style="27" customWidth="1"/>
    <col min="1797" max="1797" width="1.41796875" style="27" customWidth="1"/>
    <col min="1798" max="1798" width="1.9453125" style="27" customWidth="1"/>
    <col min="1799" max="1799" width="8" style="27" customWidth="1"/>
    <col min="1800" max="1800" width="11.68359375" style="27" customWidth="1"/>
    <col min="1801" max="1801" width="12.20703125" style="27" customWidth="1"/>
    <col min="1802" max="1802" width="10.26171875" style="27" customWidth="1"/>
    <col min="1803" max="1803" width="12.47265625" style="27" customWidth="1"/>
    <col min="1804" max="1804" width="7.89453125" style="27" customWidth="1"/>
    <col min="1805" max="1805" width="13.26171875" style="27" customWidth="1"/>
    <col min="1806" max="1806" width="19.83984375" style="27" customWidth="1"/>
    <col min="1807" max="1807" width="16.68359375" style="27" customWidth="1"/>
    <col min="1808" max="2048" width="9.05078125" style="27"/>
    <col min="2049" max="2049" width="8" style="27" customWidth="1"/>
    <col min="2050" max="2050" width="13.9453125" style="27" customWidth="1"/>
    <col min="2051" max="2051" width="7.47265625" style="27" customWidth="1"/>
    <col min="2052" max="2052" width="7.3671875" style="27" customWidth="1"/>
    <col min="2053" max="2053" width="1.41796875" style="27" customWidth="1"/>
    <col min="2054" max="2054" width="1.9453125" style="27" customWidth="1"/>
    <col min="2055" max="2055" width="8" style="27" customWidth="1"/>
    <col min="2056" max="2056" width="11.68359375" style="27" customWidth="1"/>
    <col min="2057" max="2057" width="12.20703125" style="27" customWidth="1"/>
    <col min="2058" max="2058" width="10.26171875" style="27" customWidth="1"/>
    <col min="2059" max="2059" width="12.47265625" style="27" customWidth="1"/>
    <col min="2060" max="2060" width="7.89453125" style="27" customWidth="1"/>
    <col min="2061" max="2061" width="13.26171875" style="27" customWidth="1"/>
    <col min="2062" max="2062" width="19.83984375" style="27" customWidth="1"/>
    <col min="2063" max="2063" width="16.68359375" style="27" customWidth="1"/>
    <col min="2064" max="2304" width="9.05078125" style="27"/>
    <col min="2305" max="2305" width="8" style="27" customWidth="1"/>
    <col min="2306" max="2306" width="13.9453125" style="27" customWidth="1"/>
    <col min="2307" max="2307" width="7.47265625" style="27" customWidth="1"/>
    <col min="2308" max="2308" width="7.3671875" style="27" customWidth="1"/>
    <col min="2309" max="2309" width="1.41796875" style="27" customWidth="1"/>
    <col min="2310" max="2310" width="1.9453125" style="27" customWidth="1"/>
    <col min="2311" max="2311" width="8" style="27" customWidth="1"/>
    <col min="2312" max="2312" width="11.68359375" style="27" customWidth="1"/>
    <col min="2313" max="2313" width="12.20703125" style="27" customWidth="1"/>
    <col min="2314" max="2314" width="10.26171875" style="27" customWidth="1"/>
    <col min="2315" max="2315" width="12.47265625" style="27" customWidth="1"/>
    <col min="2316" max="2316" width="7.89453125" style="27" customWidth="1"/>
    <col min="2317" max="2317" width="13.26171875" style="27" customWidth="1"/>
    <col min="2318" max="2318" width="19.83984375" style="27" customWidth="1"/>
    <col min="2319" max="2319" width="16.68359375" style="27" customWidth="1"/>
    <col min="2320" max="2560" width="9.05078125" style="27"/>
    <col min="2561" max="2561" width="8" style="27" customWidth="1"/>
    <col min="2562" max="2562" width="13.9453125" style="27" customWidth="1"/>
    <col min="2563" max="2563" width="7.47265625" style="27" customWidth="1"/>
    <col min="2564" max="2564" width="7.3671875" style="27" customWidth="1"/>
    <col min="2565" max="2565" width="1.41796875" style="27" customWidth="1"/>
    <col min="2566" max="2566" width="1.9453125" style="27" customWidth="1"/>
    <col min="2567" max="2567" width="8" style="27" customWidth="1"/>
    <col min="2568" max="2568" width="11.68359375" style="27" customWidth="1"/>
    <col min="2569" max="2569" width="12.20703125" style="27" customWidth="1"/>
    <col min="2570" max="2570" width="10.26171875" style="27" customWidth="1"/>
    <col min="2571" max="2571" width="12.47265625" style="27" customWidth="1"/>
    <col min="2572" max="2572" width="7.89453125" style="27" customWidth="1"/>
    <col min="2573" max="2573" width="13.26171875" style="27" customWidth="1"/>
    <col min="2574" max="2574" width="19.83984375" style="27" customWidth="1"/>
    <col min="2575" max="2575" width="16.68359375" style="27" customWidth="1"/>
    <col min="2576" max="2816" width="9.05078125" style="27"/>
    <col min="2817" max="2817" width="8" style="27" customWidth="1"/>
    <col min="2818" max="2818" width="13.9453125" style="27" customWidth="1"/>
    <col min="2819" max="2819" width="7.47265625" style="27" customWidth="1"/>
    <col min="2820" max="2820" width="7.3671875" style="27" customWidth="1"/>
    <col min="2821" max="2821" width="1.41796875" style="27" customWidth="1"/>
    <col min="2822" max="2822" width="1.9453125" style="27" customWidth="1"/>
    <col min="2823" max="2823" width="8" style="27" customWidth="1"/>
    <col min="2824" max="2824" width="11.68359375" style="27" customWidth="1"/>
    <col min="2825" max="2825" width="12.20703125" style="27" customWidth="1"/>
    <col min="2826" max="2826" width="10.26171875" style="27" customWidth="1"/>
    <col min="2827" max="2827" width="12.47265625" style="27" customWidth="1"/>
    <col min="2828" max="2828" width="7.89453125" style="27" customWidth="1"/>
    <col min="2829" max="2829" width="13.26171875" style="27" customWidth="1"/>
    <col min="2830" max="2830" width="19.83984375" style="27" customWidth="1"/>
    <col min="2831" max="2831" width="16.68359375" style="27" customWidth="1"/>
    <col min="2832" max="3072" width="9.05078125" style="27"/>
    <col min="3073" max="3073" width="8" style="27" customWidth="1"/>
    <col min="3074" max="3074" width="13.9453125" style="27" customWidth="1"/>
    <col min="3075" max="3075" width="7.47265625" style="27" customWidth="1"/>
    <col min="3076" max="3076" width="7.3671875" style="27" customWidth="1"/>
    <col min="3077" max="3077" width="1.41796875" style="27" customWidth="1"/>
    <col min="3078" max="3078" width="1.9453125" style="27" customWidth="1"/>
    <col min="3079" max="3079" width="8" style="27" customWidth="1"/>
    <col min="3080" max="3080" width="11.68359375" style="27" customWidth="1"/>
    <col min="3081" max="3081" width="12.20703125" style="27" customWidth="1"/>
    <col min="3082" max="3082" width="10.26171875" style="27" customWidth="1"/>
    <col min="3083" max="3083" width="12.47265625" style="27" customWidth="1"/>
    <col min="3084" max="3084" width="7.89453125" style="27" customWidth="1"/>
    <col min="3085" max="3085" width="13.26171875" style="27" customWidth="1"/>
    <col min="3086" max="3086" width="19.83984375" style="27" customWidth="1"/>
    <col min="3087" max="3087" width="16.68359375" style="27" customWidth="1"/>
    <col min="3088" max="3328" width="9.05078125" style="27"/>
    <col min="3329" max="3329" width="8" style="27" customWidth="1"/>
    <col min="3330" max="3330" width="13.9453125" style="27" customWidth="1"/>
    <col min="3331" max="3331" width="7.47265625" style="27" customWidth="1"/>
    <col min="3332" max="3332" width="7.3671875" style="27" customWidth="1"/>
    <col min="3333" max="3333" width="1.41796875" style="27" customWidth="1"/>
    <col min="3334" max="3334" width="1.9453125" style="27" customWidth="1"/>
    <col min="3335" max="3335" width="8" style="27" customWidth="1"/>
    <col min="3336" max="3336" width="11.68359375" style="27" customWidth="1"/>
    <col min="3337" max="3337" width="12.20703125" style="27" customWidth="1"/>
    <col min="3338" max="3338" width="10.26171875" style="27" customWidth="1"/>
    <col min="3339" max="3339" width="12.47265625" style="27" customWidth="1"/>
    <col min="3340" max="3340" width="7.89453125" style="27" customWidth="1"/>
    <col min="3341" max="3341" width="13.26171875" style="27" customWidth="1"/>
    <col min="3342" max="3342" width="19.83984375" style="27" customWidth="1"/>
    <col min="3343" max="3343" width="16.68359375" style="27" customWidth="1"/>
    <col min="3344" max="3584" width="9.05078125" style="27"/>
    <col min="3585" max="3585" width="8" style="27" customWidth="1"/>
    <col min="3586" max="3586" width="13.9453125" style="27" customWidth="1"/>
    <col min="3587" max="3587" width="7.47265625" style="27" customWidth="1"/>
    <col min="3588" max="3588" width="7.3671875" style="27" customWidth="1"/>
    <col min="3589" max="3589" width="1.41796875" style="27" customWidth="1"/>
    <col min="3590" max="3590" width="1.9453125" style="27" customWidth="1"/>
    <col min="3591" max="3591" width="8" style="27" customWidth="1"/>
    <col min="3592" max="3592" width="11.68359375" style="27" customWidth="1"/>
    <col min="3593" max="3593" width="12.20703125" style="27" customWidth="1"/>
    <col min="3594" max="3594" width="10.26171875" style="27" customWidth="1"/>
    <col min="3595" max="3595" width="12.47265625" style="27" customWidth="1"/>
    <col min="3596" max="3596" width="7.89453125" style="27" customWidth="1"/>
    <col min="3597" max="3597" width="13.26171875" style="27" customWidth="1"/>
    <col min="3598" max="3598" width="19.83984375" style="27" customWidth="1"/>
    <col min="3599" max="3599" width="16.68359375" style="27" customWidth="1"/>
    <col min="3600" max="3840" width="9.05078125" style="27"/>
    <col min="3841" max="3841" width="8" style="27" customWidth="1"/>
    <col min="3842" max="3842" width="13.9453125" style="27" customWidth="1"/>
    <col min="3843" max="3843" width="7.47265625" style="27" customWidth="1"/>
    <col min="3844" max="3844" width="7.3671875" style="27" customWidth="1"/>
    <col min="3845" max="3845" width="1.41796875" style="27" customWidth="1"/>
    <col min="3846" max="3846" width="1.9453125" style="27" customWidth="1"/>
    <col min="3847" max="3847" width="8" style="27" customWidth="1"/>
    <col min="3848" max="3848" width="11.68359375" style="27" customWidth="1"/>
    <col min="3849" max="3849" width="12.20703125" style="27" customWidth="1"/>
    <col min="3850" max="3850" width="10.26171875" style="27" customWidth="1"/>
    <col min="3851" max="3851" width="12.47265625" style="27" customWidth="1"/>
    <col min="3852" max="3852" width="7.89453125" style="27" customWidth="1"/>
    <col min="3853" max="3853" width="13.26171875" style="27" customWidth="1"/>
    <col min="3854" max="3854" width="19.83984375" style="27" customWidth="1"/>
    <col min="3855" max="3855" width="16.68359375" style="27" customWidth="1"/>
    <col min="3856" max="4096" width="9.05078125" style="27"/>
    <col min="4097" max="4097" width="8" style="27" customWidth="1"/>
    <col min="4098" max="4098" width="13.9453125" style="27" customWidth="1"/>
    <col min="4099" max="4099" width="7.47265625" style="27" customWidth="1"/>
    <col min="4100" max="4100" width="7.3671875" style="27" customWidth="1"/>
    <col min="4101" max="4101" width="1.41796875" style="27" customWidth="1"/>
    <col min="4102" max="4102" width="1.9453125" style="27" customWidth="1"/>
    <col min="4103" max="4103" width="8" style="27" customWidth="1"/>
    <col min="4104" max="4104" width="11.68359375" style="27" customWidth="1"/>
    <col min="4105" max="4105" width="12.20703125" style="27" customWidth="1"/>
    <col min="4106" max="4106" width="10.26171875" style="27" customWidth="1"/>
    <col min="4107" max="4107" width="12.47265625" style="27" customWidth="1"/>
    <col min="4108" max="4108" width="7.89453125" style="27" customWidth="1"/>
    <col min="4109" max="4109" width="13.26171875" style="27" customWidth="1"/>
    <col min="4110" max="4110" width="19.83984375" style="27" customWidth="1"/>
    <col min="4111" max="4111" width="16.68359375" style="27" customWidth="1"/>
    <col min="4112" max="4352" width="9.05078125" style="27"/>
    <col min="4353" max="4353" width="8" style="27" customWidth="1"/>
    <col min="4354" max="4354" width="13.9453125" style="27" customWidth="1"/>
    <col min="4355" max="4355" width="7.47265625" style="27" customWidth="1"/>
    <col min="4356" max="4356" width="7.3671875" style="27" customWidth="1"/>
    <col min="4357" max="4357" width="1.41796875" style="27" customWidth="1"/>
    <col min="4358" max="4358" width="1.9453125" style="27" customWidth="1"/>
    <col min="4359" max="4359" width="8" style="27" customWidth="1"/>
    <col min="4360" max="4360" width="11.68359375" style="27" customWidth="1"/>
    <col min="4361" max="4361" width="12.20703125" style="27" customWidth="1"/>
    <col min="4362" max="4362" width="10.26171875" style="27" customWidth="1"/>
    <col min="4363" max="4363" width="12.47265625" style="27" customWidth="1"/>
    <col min="4364" max="4364" width="7.89453125" style="27" customWidth="1"/>
    <col min="4365" max="4365" width="13.26171875" style="27" customWidth="1"/>
    <col min="4366" max="4366" width="19.83984375" style="27" customWidth="1"/>
    <col min="4367" max="4367" width="16.68359375" style="27" customWidth="1"/>
    <col min="4368" max="4608" width="9.05078125" style="27"/>
    <col min="4609" max="4609" width="8" style="27" customWidth="1"/>
    <col min="4610" max="4610" width="13.9453125" style="27" customWidth="1"/>
    <col min="4611" max="4611" width="7.47265625" style="27" customWidth="1"/>
    <col min="4612" max="4612" width="7.3671875" style="27" customWidth="1"/>
    <col min="4613" max="4613" width="1.41796875" style="27" customWidth="1"/>
    <col min="4614" max="4614" width="1.9453125" style="27" customWidth="1"/>
    <col min="4615" max="4615" width="8" style="27" customWidth="1"/>
    <col min="4616" max="4616" width="11.68359375" style="27" customWidth="1"/>
    <col min="4617" max="4617" width="12.20703125" style="27" customWidth="1"/>
    <col min="4618" max="4618" width="10.26171875" style="27" customWidth="1"/>
    <col min="4619" max="4619" width="12.47265625" style="27" customWidth="1"/>
    <col min="4620" max="4620" width="7.89453125" style="27" customWidth="1"/>
    <col min="4621" max="4621" width="13.26171875" style="27" customWidth="1"/>
    <col min="4622" max="4622" width="19.83984375" style="27" customWidth="1"/>
    <col min="4623" max="4623" width="16.68359375" style="27" customWidth="1"/>
    <col min="4624" max="4864" width="9.05078125" style="27"/>
    <col min="4865" max="4865" width="8" style="27" customWidth="1"/>
    <col min="4866" max="4866" width="13.9453125" style="27" customWidth="1"/>
    <col min="4867" max="4867" width="7.47265625" style="27" customWidth="1"/>
    <col min="4868" max="4868" width="7.3671875" style="27" customWidth="1"/>
    <col min="4869" max="4869" width="1.41796875" style="27" customWidth="1"/>
    <col min="4870" max="4870" width="1.9453125" style="27" customWidth="1"/>
    <col min="4871" max="4871" width="8" style="27" customWidth="1"/>
    <col min="4872" max="4872" width="11.68359375" style="27" customWidth="1"/>
    <col min="4873" max="4873" width="12.20703125" style="27" customWidth="1"/>
    <col min="4874" max="4874" width="10.26171875" style="27" customWidth="1"/>
    <col min="4875" max="4875" width="12.47265625" style="27" customWidth="1"/>
    <col min="4876" max="4876" width="7.89453125" style="27" customWidth="1"/>
    <col min="4877" max="4877" width="13.26171875" style="27" customWidth="1"/>
    <col min="4878" max="4878" width="19.83984375" style="27" customWidth="1"/>
    <col min="4879" max="4879" width="16.68359375" style="27" customWidth="1"/>
    <col min="4880" max="5120" width="9.05078125" style="27"/>
    <col min="5121" max="5121" width="8" style="27" customWidth="1"/>
    <col min="5122" max="5122" width="13.9453125" style="27" customWidth="1"/>
    <col min="5123" max="5123" width="7.47265625" style="27" customWidth="1"/>
    <col min="5124" max="5124" width="7.3671875" style="27" customWidth="1"/>
    <col min="5125" max="5125" width="1.41796875" style="27" customWidth="1"/>
    <col min="5126" max="5126" width="1.9453125" style="27" customWidth="1"/>
    <col min="5127" max="5127" width="8" style="27" customWidth="1"/>
    <col min="5128" max="5128" width="11.68359375" style="27" customWidth="1"/>
    <col min="5129" max="5129" width="12.20703125" style="27" customWidth="1"/>
    <col min="5130" max="5130" width="10.26171875" style="27" customWidth="1"/>
    <col min="5131" max="5131" width="12.47265625" style="27" customWidth="1"/>
    <col min="5132" max="5132" width="7.89453125" style="27" customWidth="1"/>
    <col min="5133" max="5133" width="13.26171875" style="27" customWidth="1"/>
    <col min="5134" max="5134" width="19.83984375" style="27" customWidth="1"/>
    <col min="5135" max="5135" width="16.68359375" style="27" customWidth="1"/>
    <col min="5136" max="5376" width="9.05078125" style="27"/>
    <col min="5377" max="5377" width="8" style="27" customWidth="1"/>
    <col min="5378" max="5378" width="13.9453125" style="27" customWidth="1"/>
    <col min="5379" max="5379" width="7.47265625" style="27" customWidth="1"/>
    <col min="5380" max="5380" width="7.3671875" style="27" customWidth="1"/>
    <col min="5381" max="5381" width="1.41796875" style="27" customWidth="1"/>
    <col min="5382" max="5382" width="1.9453125" style="27" customWidth="1"/>
    <col min="5383" max="5383" width="8" style="27" customWidth="1"/>
    <col min="5384" max="5384" width="11.68359375" style="27" customWidth="1"/>
    <col min="5385" max="5385" width="12.20703125" style="27" customWidth="1"/>
    <col min="5386" max="5386" width="10.26171875" style="27" customWidth="1"/>
    <col min="5387" max="5387" width="12.47265625" style="27" customWidth="1"/>
    <col min="5388" max="5388" width="7.89453125" style="27" customWidth="1"/>
    <col min="5389" max="5389" width="13.26171875" style="27" customWidth="1"/>
    <col min="5390" max="5390" width="19.83984375" style="27" customWidth="1"/>
    <col min="5391" max="5391" width="16.68359375" style="27" customWidth="1"/>
    <col min="5392" max="5632" width="9.05078125" style="27"/>
    <col min="5633" max="5633" width="8" style="27" customWidth="1"/>
    <col min="5634" max="5634" width="13.9453125" style="27" customWidth="1"/>
    <col min="5635" max="5635" width="7.47265625" style="27" customWidth="1"/>
    <col min="5636" max="5636" width="7.3671875" style="27" customWidth="1"/>
    <col min="5637" max="5637" width="1.41796875" style="27" customWidth="1"/>
    <col min="5638" max="5638" width="1.9453125" style="27" customWidth="1"/>
    <col min="5639" max="5639" width="8" style="27" customWidth="1"/>
    <col min="5640" max="5640" width="11.68359375" style="27" customWidth="1"/>
    <col min="5641" max="5641" width="12.20703125" style="27" customWidth="1"/>
    <col min="5642" max="5642" width="10.26171875" style="27" customWidth="1"/>
    <col min="5643" max="5643" width="12.47265625" style="27" customWidth="1"/>
    <col min="5644" max="5644" width="7.89453125" style="27" customWidth="1"/>
    <col min="5645" max="5645" width="13.26171875" style="27" customWidth="1"/>
    <col min="5646" max="5646" width="19.83984375" style="27" customWidth="1"/>
    <col min="5647" max="5647" width="16.68359375" style="27" customWidth="1"/>
    <col min="5648" max="5888" width="9.05078125" style="27"/>
    <col min="5889" max="5889" width="8" style="27" customWidth="1"/>
    <col min="5890" max="5890" width="13.9453125" style="27" customWidth="1"/>
    <col min="5891" max="5891" width="7.47265625" style="27" customWidth="1"/>
    <col min="5892" max="5892" width="7.3671875" style="27" customWidth="1"/>
    <col min="5893" max="5893" width="1.41796875" style="27" customWidth="1"/>
    <col min="5894" max="5894" width="1.9453125" style="27" customWidth="1"/>
    <col min="5895" max="5895" width="8" style="27" customWidth="1"/>
    <col min="5896" max="5896" width="11.68359375" style="27" customWidth="1"/>
    <col min="5897" max="5897" width="12.20703125" style="27" customWidth="1"/>
    <col min="5898" max="5898" width="10.26171875" style="27" customWidth="1"/>
    <col min="5899" max="5899" width="12.47265625" style="27" customWidth="1"/>
    <col min="5900" max="5900" width="7.89453125" style="27" customWidth="1"/>
    <col min="5901" max="5901" width="13.26171875" style="27" customWidth="1"/>
    <col min="5902" max="5902" width="19.83984375" style="27" customWidth="1"/>
    <col min="5903" max="5903" width="16.68359375" style="27" customWidth="1"/>
    <col min="5904" max="6144" width="9.05078125" style="27"/>
    <col min="6145" max="6145" width="8" style="27" customWidth="1"/>
    <col min="6146" max="6146" width="13.9453125" style="27" customWidth="1"/>
    <col min="6147" max="6147" width="7.47265625" style="27" customWidth="1"/>
    <col min="6148" max="6148" width="7.3671875" style="27" customWidth="1"/>
    <col min="6149" max="6149" width="1.41796875" style="27" customWidth="1"/>
    <col min="6150" max="6150" width="1.9453125" style="27" customWidth="1"/>
    <col min="6151" max="6151" width="8" style="27" customWidth="1"/>
    <col min="6152" max="6152" width="11.68359375" style="27" customWidth="1"/>
    <col min="6153" max="6153" width="12.20703125" style="27" customWidth="1"/>
    <col min="6154" max="6154" width="10.26171875" style="27" customWidth="1"/>
    <col min="6155" max="6155" width="12.47265625" style="27" customWidth="1"/>
    <col min="6156" max="6156" width="7.89453125" style="27" customWidth="1"/>
    <col min="6157" max="6157" width="13.26171875" style="27" customWidth="1"/>
    <col min="6158" max="6158" width="19.83984375" style="27" customWidth="1"/>
    <col min="6159" max="6159" width="16.68359375" style="27" customWidth="1"/>
    <col min="6160" max="6400" width="9.05078125" style="27"/>
    <col min="6401" max="6401" width="8" style="27" customWidth="1"/>
    <col min="6402" max="6402" width="13.9453125" style="27" customWidth="1"/>
    <col min="6403" max="6403" width="7.47265625" style="27" customWidth="1"/>
    <col min="6404" max="6404" width="7.3671875" style="27" customWidth="1"/>
    <col min="6405" max="6405" width="1.41796875" style="27" customWidth="1"/>
    <col min="6406" max="6406" width="1.9453125" style="27" customWidth="1"/>
    <col min="6407" max="6407" width="8" style="27" customWidth="1"/>
    <col min="6408" max="6408" width="11.68359375" style="27" customWidth="1"/>
    <col min="6409" max="6409" width="12.20703125" style="27" customWidth="1"/>
    <col min="6410" max="6410" width="10.26171875" style="27" customWidth="1"/>
    <col min="6411" max="6411" width="12.47265625" style="27" customWidth="1"/>
    <col min="6412" max="6412" width="7.89453125" style="27" customWidth="1"/>
    <col min="6413" max="6413" width="13.26171875" style="27" customWidth="1"/>
    <col min="6414" max="6414" width="19.83984375" style="27" customWidth="1"/>
    <col min="6415" max="6415" width="16.68359375" style="27" customWidth="1"/>
    <col min="6416" max="6656" width="9.05078125" style="27"/>
    <col min="6657" max="6657" width="8" style="27" customWidth="1"/>
    <col min="6658" max="6658" width="13.9453125" style="27" customWidth="1"/>
    <col min="6659" max="6659" width="7.47265625" style="27" customWidth="1"/>
    <col min="6660" max="6660" width="7.3671875" style="27" customWidth="1"/>
    <col min="6661" max="6661" width="1.41796875" style="27" customWidth="1"/>
    <col min="6662" max="6662" width="1.9453125" style="27" customWidth="1"/>
    <col min="6663" max="6663" width="8" style="27" customWidth="1"/>
    <col min="6664" max="6664" width="11.68359375" style="27" customWidth="1"/>
    <col min="6665" max="6665" width="12.20703125" style="27" customWidth="1"/>
    <col min="6666" max="6666" width="10.26171875" style="27" customWidth="1"/>
    <col min="6667" max="6667" width="12.47265625" style="27" customWidth="1"/>
    <col min="6668" max="6668" width="7.89453125" style="27" customWidth="1"/>
    <col min="6669" max="6669" width="13.26171875" style="27" customWidth="1"/>
    <col min="6670" max="6670" width="19.83984375" style="27" customWidth="1"/>
    <col min="6671" max="6671" width="16.68359375" style="27" customWidth="1"/>
    <col min="6672" max="6912" width="9.05078125" style="27"/>
    <col min="6913" max="6913" width="8" style="27" customWidth="1"/>
    <col min="6914" max="6914" width="13.9453125" style="27" customWidth="1"/>
    <col min="6915" max="6915" width="7.47265625" style="27" customWidth="1"/>
    <col min="6916" max="6916" width="7.3671875" style="27" customWidth="1"/>
    <col min="6917" max="6917" width="1.41796875" style="27" customWidth="1"/>
    <col min="6918" max="6918" width="1.9453125" style="27" customWidth="1"/>
    <col min="6919" max="6919" width="8" style="27" customWidth="1"/>
    <col min="6920" max="6920" width="11.68359375" style="27" customWidth="1"/>
    <col min="6921" max="6921" width="12.20703125" style="27" customWidth="1"/>
    <col min="6922" max="6922" width="10.26171875" style="27" customWidth="1"/>
    <col min="6923" max="6923" width="12.47265625" style="27" customWidth="1"/>
    <col min="6924" max="6924" width="7.89453125" style="27" customWidth="1"/>
    <col min="6925" max="6925" width="13.26171875" style="27" customWidth="1"/>
    <col min="6926" max="6926" width="19.83984375" style="27" customWidth="1"/>
    <col min="6927" max="6927" width="16.68359375" style="27" customWidth="1"/>
    <col min="6928" max="7168" width="9.05078125" style="27"/>
    <col min="7169" max="7169" width="8" style="27" customWidth="1"/>
    <col min="7170" max="7170" width="13.9453125" style="27" customWidth="1"/>
    <col min="7171" max="7171" width="7.47265625" style="27" customWidth="1"/>
    <col min="7172" max="7172" width="7.3671875" style="27" customWidth="1"/>
    <col min="7173" max="7173" width="1.41796875" style="27" customWidth="1"/>
    <col min="7174" max="7174" width="1.9453125" style="27" customWidth="1"/>
    <col min="7175" max="7175" width="8" style="27" customWidth="1"/>
    <col min="7176" max="7176" width="11.68359375" style="27" customWidth="1"/>
    <col min="7177" max="7177" width="12.20703125" style="27" customWidth="1"/>
    <col min="7178" max="7178" width="10.26171875" style="27" customWidth="1"/>
    <col min="7179" max="7179" width="12.47265625" style="27" customWidth="1"/>
    <col min="7180" max="7180" width="7.89453125" style="27" customWidth="1"/>
    <col min="7181" max="7181" width="13.26171875" style="27" customWidth="1"/>
    <col min="7182" max="7182" width="19.83984375" style="27" customWidth="1"/>
    <col min="7183" max="7183" width="16.68359375" style="27" customWidth="1"/>
    <col min="7184" max="7424" width="9.05078125" style="27"/>
    <col min="7425" max="7425" width="8" style="27" customWidth="1"/>
    <col min="7426" max="7426" width="13.9453125" style="27" customWidth="1"/>
    <col min="7427" max="7427" width="7.47265625" style="27" customWidth="1"/>
    <col min="7428" max="7428" width="7.3671875" style="27" customWidth="1"/>
    <col min="7429" max="7429" width="1.41796875" style="27" customWidth="1"/>
    <col min="7430" max="7430" width="1.9453125" style="27" customWidth="1"/>
    <col min="7431" max="7431" width="8" style="27" customWidth="1"/>
    <col min="7432" max="7432" width="11.68359375" style="27" customWidth="1"/>
    <col min="7433" max="7433" width="12.20703125" style="27" customWidth="1"/>
    <col min="7434" max="7434" width="10.26171875" style="27" customWidth="1"/>
    <col min="7435" max="7435" width="12.47265625" style="27" customWidth="1"/>
    <col min="7436" max="7436" width="7.89453125" style="27" customWidth="1"/>
    <col min="7437" max="7437" width="13.26171875" style="27" customWidth="1"/>
    <col min="7438" max="7438" width="19.83984375" style="27" customWidth="1"/>
    <col min="7439" max="7439" width="16.68359375" style="27" customWidth="1"/>
    <col min="7440" max="7680" width="9.05078125" style="27"/>
    <col min="7681" max="7681" width="8" style="27" customWidth="1"/>
    <col min="7682" max="7682" width="13.9453125" style="27" customWidth="1"/>
    <col min="7683" max="7683" width="7.47265625" style="27" customWidth="1"/>
    <col min="7684" max="7684" width="7.3671875" style="27" customWidth="1"/>
    <col min="7685" max="7685" width="1.41796875" style="27" customWidth="1"/>
    <col min="7686" max="7686" width="1.9453125" style="27" customWidth="1"/>
    <col min="7687" max="7687" width="8" style="27" customWidth="1"/>
    <col min="7688" max="7688" width="11.68359375" style="27" customWidth="1"/>
    <col min="7689" max="7689" width="12.20703125" style="27" customWidth="1"/>
    <col min="7690" max="7690" width="10.26171875" style="27" customWidth="1"/>
    <col min="7691" max="7691" width="12.47265625" style="27" customWidth="1"/>
    <col min="7692" max="7692" width="7.89453125" style="27" customWidth="1"/>
    <col min="7693" max="7693" width="13.26171875" style="27" customWidth="1"/>
    <col min="7694" max="7694" width="19.83984375" style="27" customWidth="1"/>
    <col min="7695" max="7695" width="16.68359375" style="27" customWidth="1"/>
    <col min="7696" max="7936" width="9.05078125" style="27"/>
    <col min="7937" max="7937" width="8" style="27" customWidth="1"/>
    <col min="7938" max="7938" width="13.9453125" style="27" customWidth="1"/>
    <col min="7939" max="7939" width="7.47265625" style="27" customWidth="1"/>
    <col min="7940" max="7940" width="7.3671875" style="27" customWidth="1"/>
    <col min="7941" max="7941" width="1.41796875" style="27" customWidth="1"/>
    <col min="7942" max="7942" width="1.9453125" style="27" customWidth="1"/>
    <col min="7943" max="7943" width="8" style="27" customWidth="1"/>
    <col min="7944" max="7944" width="11.68359375" style="27" customWidth="1"/>
    <col min="7945" max="7945" width="12.20703125" style="27" customWidth="1"/>
    <col min="7946" max="7946" width="10.26171875" style="27" customWidth="1"/>
    <col min="7947" max="7947" width="12.47265625" style="27" customWidth="1"/>
    <col min="7948" max="7948" width="7.89453125" style="27" customWidth="1"/>
    <col min="7949" max="7949" width="13.26171875" style="27" customWidth="1"/>
    <col min="7950" max="7950" width="19.83984375" style="27" customWidth="1"/>
    <col min="7951" max="7951" width="16.68359375" style="27" customWidth="1"/>
    <col min="7952" max="8192" width="9.05078125" style="27"/>
    <col min="8193" max="8193" width="8" style="27" customWidth="1"/>
    <col min="8194" max="8194" width="13.9453125" style="27" customWidth="1"/>
    <col min="8195" max="8195" width="7.47265625" style="27" customWidth="1"/>
    <col min="8196" max="8196" width="7.3671875" style="27" customWidth="1"/>
    <col min="8197" max="8197" width="1.41796875" style="27" customWidth="1"/>
    <col min="8198" max="8198" width="1.9453125" style="27" customWidth="1"/>
    <col min="8199" max="8199" width="8" style="27" customWidth="1"/>
    <col min="8200" max="8200" width="11.68359375" style="27" customWidth="1"/>
    <col min="8201" max="8201" width="12.20703125" style="27" customWidth="1"/>
    <col min="8202" max="8202" width="10.26171875" style="27" customWidth="1"/>
    <col min="8203" max="8203" width="12.47265625" style="27" customWidth="1"/>
    <col min="8204" max="8204" width="7.89453125" style="27" customWidth="1"/>
    <col min="8205" max="8205" width="13.26171875" style="27" customWidth="1"/>
    <col min="8206" max="8206" width="19.83984375" style="27" customWidth="1"/>
    <col min="8207" max="8207" width="16.68359375" style="27" customWidth="1"/>
    <col min="8208" max="8448" width="9.05078125" style="27"/>
    <col min="8449" max="8449" width="8" style="27" customWidth="1"/>
    <col min="8450" max="8450" width="13.9453125" style="27" customWidth="1"/>
    <col min="8451" max="8451" width="7.47265625" style="27" customWidth="1"/>
    <col min="8452" max="8452" width="7.3671875" style="27" customWidth="1"/>
    <col min="8453" max="8453" width="1.41796875" style="27" customWidth="1"/>
    <col min="8454" max="8454" width="1.9453125" style="27" customWidth="1"/>
    <col min="8455" max="8455" width="8" style="27" customWidth="1"/>
    <col min="8456" max="8456" width="11.68359375" style="27" customWidth="1"/>
    <col min="8457" max="8457" width="12.20703125" style="27" customWidth="1"/>
    <col min="8458" max="8458" width="10.26171875" style="27" customWidth="1"/>
    <col min="8459" max="8459" width="12.47265625" style="27" customWidth="1"/>
    <col min="8460" max="8460" width="7.89453125" style="27" customWidth="1"/>
    <col min="8461" max="8461" width="13.26171875" style="27" customWidth="1"/>
    <col min="8462" max="8462" width="19.83984375" style="27" customWidth="1"/>
    <col min="8463" max="8463" width="16.68359375" style="27" customWidth="1"/>
    <col min="8464" max="8704" width="9.05078125" style="27"/>
    <col min="8705" max="8705" width="8" style="27" customWidth="1"/>
    <col min="8706" max="8706" width="13.9453125" style="27" customWidth="1"/>
    <col min="8707" max="8707" width="7.47265625" style="27" customWidth="1"/>
    <col min="8708" max="8708" width="7.3671875" style="27" customWidth="1"/>
    <col min="8709" max="8709" width="1.41796875" style="27" customWidth="1"/>
    <col min="8710" max="8710" width="1.9453125" style="27" customWidth="1"/>
    <col min="8711" max="8711" width="8" style="27" customWidth="1"/>
    <col min="8712" max="8712" width="11.68359375" style="27" customWidth="1"/>
    <col min="8713" max="8713" width="12.20703125" style="27" customWidth="1"/>
    <col min="8714" max="8714" width="10.26171875" style="27" customWidth="1"/>
    <col min="8715" max="8715" width="12.47265625" style="27" customWidth="1"/>
    <col min="8716" max="8716" width="7.89453125" style="27" customWidth="1"/>
    <col min="8717" max="8717" width="13.26171875" style="27" customWidth="1"/>
    <col min="8718" max="8718" width="19.83984375" style="27" customWidth="1"/>
    <col min="8719" max="8719" width="16.68359375" style="27" customWidth="1"/>
    <col min="8720" max="8960" width="9.05078125" style="27"/>
    <col min="8961" max="8961" width="8" style="27" customWidth="1"/>
    <col min="8962" max="8962" width="13.9453125" style="27" customWidth="1"/>
    <col min="8963" max="8963" width="7.47265625" style="27" customWidth="1"/>
    <col min="8964" max="8964" width="7.3671875" style="27" customWidth="1"/>
    <col min="8965" max="8965" width="1.41796875" style="27" customWidth="1"/>
    <col min="8966" max="8966" width="1.9453125" style="27" customWidth="1"/>
    <col min="8967" max="8967" width="8" style="27" customWidth="1"/>
    <col min="8968" max="8968" width="11.68359375" style="27" customWidth="1"/>
    <col min="8969" max="8969" width="12.20703125" style="27" customWidth="1"/>
    <col min="8970" max="8970" width="10.26171875" style="27" customWidth="1"/>
    <col min="8971" max="8971" width="12.47265625" style="27" customWidth="1"/>
    <col min="8972" max="8972" width="7.89453125" style="27" customWidth="1"/>
    <col min="8973" max="8973" width="13.26171875" style="27" customWidth="1"/>
    <col min="8974" max="8974" width="19.83984375" style="27" customWidth="1"/>
    <col min="8975" max="8975" width="16.68359375" style="27" customWidth="1"/>
    <col min="8976" max="9216" width="9.05078125" style="27"/>
    <col min="9217" max="9217" width="8" style="27" customWidth="1"/>
    <col min="9218" max="9218" width="13.9453125" style="27" customWidth="1"/>
    <col min="9219" max="9219" width="7.47265625" style="27" customWidth="1"/>
    <col min="9220" max="9220" width="7.3671875" style="27" customWidth="1"/>
    <col min="9221" max="9221" width="1.41796875" style="27" customWidth="1"/>
    <col min="9222" max="9222" width="1.9453125" style="27" customWidth="1"/>
    <col min="9223" max="9223" width="8" style="27" customWidth="1"/>
    <col min="9224" max="9224" width="11.68359375" style="27" customWidth="1"/>
    <col min="9225" max="9225" width="12.20703125" style="27" customWidth="1"/>
    <col min="9226" max="9226" width="10.26171875" style="27" customWidth="1"/>
    <col min="9227" max="9227" width="12.47265625" style="27" customWidth="1"/>
    <col min="9228" max="9228" width="7.89453125" style="27" customWidth="1"/>
    <col min="9229" max="9229" width="13.26171875" style="27" customWidth="1"/>
    <col min="9230" max="9230" width="19.83984375" style="27" customWidth="1"/>
    <col min="9231" max="9231" width="16.68359375" style="27" customWidth="1"/>
    <col min="9232" max="9472" width="9.05078125" style="27"/>
    <col min="9473" max="9473" width="8" style="27" customWidth="1"/>
    <col min="9474" max="9474" width="13.9453125" style="27" customWidth="1"/>
    <col min="9475" max="9475" width="7.47265625" style="27" customWidth="1"/>
    <col min="9476" max="9476" width="7.3671875" style="27" customWidth="1"/>
    <col min="9477" max="9477" width="1.41796875" style="27" customWidth="1"/>
    <col min="9478" max="9478" width="1.9453125" style="27" customWidth="1"/>
    <col min="9479" max="9479" width="8" style="27" customWidth="1"/>
    <col min="9480" max="9480" width="11.68359375" style="27" customWidth="1"/>
    <col min="9481" max="9481" width="12.20703125" style="27" customWidth="1"/>
    <col min="9482" max="9482" width="10.26171875" style="27" customWidth="1"/>
    <col min="9483" max="9483" width="12.47265625" style="27" customWidth="1"/>
    <col min="9484" max="9484" width="7.89453125" style="27" customWidth="1"/>
    <col min="9485" max="9485" width="13.26171875" style="27" customWidth="1"/>
    <col min="9486" max="9486" width="19.83984375" style="27" customWidth="1"/>
    <col min="9487" max="9487" width="16.68359375" style="27" customWidth="1"/>
    <col min="9488" max="9728" width="9.05078125" style="27"/>
    <col min="9729" max="9729" width="8" style="27" customWidth="1"/>
    <col min="9730" max="9730" width="13.9453125" style="27" customWidth="1"/>
    <col min="9731" max="9731" width="7.47265625" style="27" customWidth="1"/>
    <col min="9732" max="9732" width="7.3671875" style="27" customWidth="1"/>
    <col min="9733" max="9733" width="1.41796875" style="27" customWidth="1"/>
    <col min="9734" max="9734" width="1.9453125" style="27" customWidth="1"/>
    <col min="9735" max="9735" width="8" style="27" customWidth="1"/>
    <col min="9736" max="9736" width="11.68359375" style="27" customWidth="1"/>
    <col min="9737" max="9737" width="12.20703125" style="27" customWidth="1"/>
    <col min="9738" max="9738" width="10.26171875" style="27" customWidth="1"/>
    <col min="9739" max="9739" width="12.47265625" style="27" customWidth="1"/>
    <col min="9740" max="9740" width="7.89453125" style="27" customWidth="1"/>
    <col min="9741" max="9741" width="13.26171875" style="27" customWidth="1"/>
    <col min="9742" max="9742" width="19.83984375" style="27" customWidth="1"/>
    <col min="9743" max="9743" width="16.68359375" style="27" customWidth="1"/>
    <col min="9744" max="9984" width="9.05078125" style="27"/>
    <col min="9985" max="9985" width="8" style="27" customWidth="1"/>
    <col min="9986" max="9986" width="13.9453125" style="27" customWidth="1"/>
    <col min="9987" max="9987" width="7.47265625" style="27" customWidth="1"/>
    <col min="9988" max="9988" width="7.3671875" style="27" customWidth="1"/>
    <col min="9989" max="9989" width="1.41796875" style="27" customWidth="1"/>
    <col min="9990" max="9990" width="1.9453125" style="27" customWidth="1"/>
    <col min="9991" max="9991" width="8" style="27" customWidth="1"/>
    <col min="9992" max="9992" width="11.68359375" style="27" customWidth="1"/>
    <col min="9993" max="9993" width="12.20703125" style="27" customWidth="1"/>
    <col min="9994" max="9994" width="10.26171875" style="27" customWidth="1"/>
    <col min="9995" max="9995" width="12.47265625" style="27" customWidth="1"/>
    <col min="9996" max="9996" width="7.89453125" style="27" customWidth="1"/>
    <col min="9997" max="9997" width="13.26171875" style="27" customWidth="1"/>
    <col min="9998" max="9998" width="19.83984375" style="27" customWidth="1"/>
    <col min="9999" max="9999" width="16.68359375" style="27" customWidth="1"/>
    <col min="10000" max="10240" width="9.05078125" style="27"/>
    <col min="10241" max="10241" width="8" style="27" customWidth="1"/>
    <col min="10242" max="10242" width="13.9453125" style="27" customWidth="1"/>
    <col min="10243" max="10243" width="7.47265625" style="27" customWidth="1"/>
    <col min="10244" max="10244" width="7.3671875" style="27" customWidth="1"/>
    <col min="10245" max="10245" width="1.41796875" style="27" customWidth="1"/>
    <col min="10246" max="10246" width="1.9453125" style="27" customWidth="1"/>
    <col min="10247" max="10247" width="8" style="27" customWidth="1"/>
    <col min="10248" max="10248" width="11.68359375" style="27" customWidth="1"/>
    <col min="10249" max="10249" width="12.20703125" style="27" customWidth="1"/>
    <col min="10250" max="10250" width="10.26171875" style="27" customWidth="1"/>
    <col min="10251" max="10251" width="12.47265625" style="27" customWidth="1"/>
    <col min="10252" max="10252" width="7.89453125" style="27" customWidth="1"/>
    <col min="10253" max="10253" width="13.26171875" style="27" customWidth="1"/>
    <col min="10254" max="10254" width="19.83984375" style="27" customWidth="1"/>
    <col min="10255" max="10255" width="16.68359375" style="27" customWidth="1"/>
    <col min="10256" max="10496" width="9.05078125" style="27"/>
    <col min="10497" max="10497" width="8" style="27" customWidth="1"/>
    <col min="10498" max="10498" width="13.9453125" style="27" customWidth="1"/>
    <col min="10499" max="10499" width="7.47265625" style="27" customWidth="1"/>
    <col min="10500" max="10500" width="7.3671875" style="27" customWidth="1"/>
    <col min="10501" max="10501" width="1.41796875" style="27" customWidth="1"/>
    <col min="10502" max="10502" width="1.9453125" style="27" customWidth="1"/>
    <col min="10503" max="10503" width="8" style="27" customWidth="1"/>
    <col min="10504" max="10504" width="11.68359375" style="27" customWidth="1"/>
    <col min="10505" max="10505" width="12.20703125" style="27" customWidth="1"/>
    <col min="10506" max="10506" width="10.26171875" style="27" customWidth="1"/>
    <col min="10507" max="10507" width="12.47265625" style="27" customWidth="1"/>
    <col min="10508" max="10508" width="7.89453125" style="27" customWidth="1"/>
    <col min="10509" max="10509" width="13.26171875" style="27" customWidth="1"/>
    <col min="10510" max="10510" width="19.83984375" style="27" customWidth="1"/>
    <col min="10511" max="10511" width="16.68359375" style="27" customWidth="1"/>
    <col min="10512" max="10752" width="9.05078125" style="27"/>
    <col min="10753" max="10753" width="8" style="27" customWidth="1"/>
    <col min="10754" max="10754" width="13.9453125" style="27" customWidth="1"/>
    <col min="10755" max="10755" width="7.47265625" style="27" customWidth="1"/>
    <col min="10756" max="10756" width="7.3671875" style="27" customWidth="1"/>
    <col min="10757" max="10757" width="1.41796875" style="27" customWidth="1"/>
    <col min="10758" max="10758" width="1.9453125" style="27" customWidth="1"/>
    <col min="10759" max="10759" width="8" style="27" customWidth="1"/>
    <col min="10760" max="10760" width="11.68359375" style="27" customWidth="1"/>
    <col min="10761" max="10761" width="12.20703125" style="27" customWidth="1"/>
    <col min="10762" max="10762" width="10.26171875" style="27" customWidth="1"/>
    <col min="10763" max="10763" width="12.47265625" style="27" customWidth="1"/>
    <col min="10764" max="10764" width="7.89453125" style="27" customWidth="1"/>
    <col min="10765" max="10765" width="13.26171875" style="27" customWidth="1"/>
    <col min="10766" max="10766" width="19.83984375" style="27" customWidth="1"/>
    <col min="10767" max="10767" width="16.68359375" style="27" customWidth="1"/>
    <col min="10768" max="11008" width="9.05078125" style="27"/>
    <col min="11009" max="11009" width="8" style="27" customWidth="1"/>
    <col min="11010" max="11010" width="13.9453125" style="27" customWidth="1"/>
    <col min="11011" max="11011" width="7.47265625" style="27" customWidth="1"/>
    <col min="11012" max="11012" width="7.3671875" style="27" customWidth="1"/>
    <col min="11013" max="11013" width="1.41796875" style="27" customWidth="1"/>
    <col min="11014" max="11014" width="1.9453125" style="27" customWidth="1"/>
    <col min="11015" max="11015" width="8" style="27" customWidth="1"/>
    <col min="11016" max="11016" width="11.68359375" style="27" customWidth="1"/>
    <col min="11017" max="11017" width="12.20703125" style="27" customWidth="1"/>
    <col min="11018" max="11018" width="10.26171875" style="27" customWidth="1"/>
    <col min="11019" max="11019" width="12.47265625" style="27" customWidth="1"/>
    <col min="11020" max="11020" width="7.89453125" style="27" customWidth="1"/>
    <col min="11021" max="11021" width="13.26171875" style="27" customWidth="1"/>
    <col min="11022" max="11022" width="19.83984375" style="27" customWidth="1"/>
    <col min="11023" max="11023" width="16.68359375" style="27" customWidth="1"/>
    <col min="11024" max="11264" width="9.05078125" style="27"/>
    <col min="11265" max="11265" width="8" style="27" customWidth="1"/>
    <col min="11266" max="11266" width="13.9453125" style="27" customWidth="1"/>
    <col min="11267" max="11267" width="7.47265625" style="27" customWidth="1"/>
    <col min="11268" max="11268" width="7.3671875" style="27" customWidth="1"/>
    <col min="11269" max="11269" width="1.41796875" style="27" customWidth="1"/>
    <col min="11270" max="11270" width="1.9453125" style="27" customWidth="1"/>
    <col min="11271" max="11271" width="8" style="27" customWidth="1"/>
    <col min="11272" max="11272" width="11.68359375" style="27" customWidth="1"/>
    <col min="11273" max="11273" width="12.20703125" style="27" customWidth="1"/>
    <col min="11274" max="11274" width="10.26171875" style="27" customWidth="1"/>
    <col min="11275" max="11275" width="12.47265625" style="27" customWidth="1"/>
    <col min="11276" max="11276" width="7.89453125" style="27" customWidth="1"/>
    <col min="11277" max="11277" width="13.26171875" style="27" customWidth="1"/>
    <col min="11278" max="11278" width="19.83984375" style="27" customWidth="1"/>
    <col min="11279" max="11279" width="16.68359375" style="27" customWidth="1"/>
    <col min="11280" max="11520" width="9.05078125" style="27"/>
    <col min="11521" max="11521" width="8" style="27" customWidth="1"/>
    <col min="11522" max="11522" width="13.9453125" style="27" customWidth="1"/>
    <col min="11523" max="11523" width="7.47265625" style="27" customWidth="1"/>
    <col min="11524" max="11524" width="7.3671875" style="27" customWidth="1"/>
    <col min="11525" max="11525" width="1.41796875" style="27" customWidth="1"/>
    <col min="11526" max="11526" width="1.9453125" style="27" customWidth="1"/>
    <col min="11527" max="11527" width="8" style="27" customWidth="1"/>
    <col min="11528" max="11528" width="11.68359375" style="27" customWidth="1"/>
    <col min="11529" max="11529" width="12.20703125" style="27" customWidth="1"/>
    <col min="11530" max="11530" width="10.26171875" style="27" customWidth="1"/>
    <col min="11531" max="11531" width="12.47265625" style="27" customWidth="1"/>
    <col min="11532" max="11532" width="7.89453125" style="27" customWidth="1"/>
    <col min="11533" max="11533" width="13.26171875" style="27" customWidth="1"/>
    <col min="11534" max="11534" width="19.83984375" style="27" customWidth="1"/>
    <col min="11535" max="11535" width="16.68359375" style="27" customWidth="1"/>
    <col min="11536" max="11776" width="9.05078125" style="27"/>
    <col min="11777" max="11777" width="8" style="27" customWidth="1"/>
    <col min="11778" max="11778" width="13.9453125" style="27" customWidth="1"/>
    <col min="11779" max="11779" width="7.47265625" style="27" customWidth="1"/>
    <col min="11780" max="11780" width="7.3671875" style="27" customWidth="1"/>
    <col min="11781" max="11781" width="1.41796875" style="27" customWidth="1"/>
    <col min="11782" max="11782" width="1.9453125" style="27" customWidth="1"/>
    <col min="11783" max="11783" width="8" style="27" customWidth="1"/>
    <col min="11784" max="11784" width="11.68359375" style="27" customWidth="1"/>
    <col min="11785" max="11785" width="12.20703125" style="27" customWidth="1"/>
    <col min="11786" max="11786" width="10.26171875" style="27" customWidth="1"/>
    <col min="11787" max="11787" width="12.47265625" style="27" customWidth="1"/>
    <col min="11788" max="11788" width="7.89453125" style="27" customWidth="1"/>
    <col min="11789" max="11789" width="13.26171875" style="27" customWidth="1"/>
    <col min="11790" max="11790" width="19.83984375" style="27" customWidth="1"/>
    <col min="11791" max="11791" width="16.68359375" style="27" customWidth="1"/>
    <col min="11792" max="12032" width="9.05078125" style="27"/>
    <col min="12033" max="12033" width="8" style="27" customWidth="1"/>
    <col min="12034" max="12034" width="13.9453125" style="27" customWidth="1"/>
    <col min="12035" max="12035" width="7.47265625" style="27" customWidth="1"/>
    <col min="12036" max="12036" width="7.3671875" style="27" customWidth="1"/>
    <col min="12037" max="12037" width="1.41796875" style="27" customWidth="1"/>
    <col min="12038" max="12038" width="1.9453125" style="27" customWidth="1"/>
    <col min="12039" max="12039" width="8" style="27" customWidth="1"/>
    <col min="12040" max="12040" width="11.68359375" style="27" customWidth="1"/>
    <col min="12041" max="12041" width="12.20703125" style="27" customWidth="1"/>
    <col min="12042" max="12042" width="10.26171875" style="27" customWidth="1"/>
    <col min="12043" max="12043" width="12.47265625" style="27" customWidth="1"/>
    <col min="12044" max="12044" width="7.89453125" style="27" customWidth="1"/>
    <col min="12045" max="12045" width="13.26171875" style="27" customWidth="1"/>
    <col min="12046" max="12046" width="19.83984375" style="27" customWidth="1"/>
    <col min="12047" max="12047" width="16.68359375" style="27" customWidth="1"/>
    <col min="12048" max="12288" width="9.05078125" style="27"/>
    <col min="12289" max="12289" width="8" style="27" customWidth="1"/>
    <col min="12290" max="12290" width="13.9453125" style="27" customWidth="1"/>
    <col min="12291" max="12291" width="7.47265625" style="27" customWidth="1"/>
    <col min="12292" max="12292" width="7.3671875" style="27" customWidth="1"/>
    <col min="12293" max="12293" width="1.41796875" style="27" customWidth="1"/>
    <col min="12294" max="12294" width="1.9453125" style="27" customWidth="1"/>
    <col min="12295" max="12295" width="8" style="27" customWidth="1"/>
    <col min="12296" max="12296" width="11.68359375" style="27" customWidth="1"/>
    <col min="12297" max="12297" width="12.20703125" style="27" customWidth="1"/>
    <col min="12298" max="12298" width="10.26171875" style="27" customWidth="1"/>
    <col min="12299" max="12299" width="12.47265625" style="27" customWidth="1"/>
    <col min="12300" max="12300" width="7.89453125" style="27" customWidth="1"/>
    <col min="12301" max="12301" width="13.26171875" style="27" customWidth="1"/>
    <col min="12302" max="12302" width="19.83984375" style="27" customWidth="1"/>
    <col min="12303" max="12303" width="16.68359375" style="27" customWidth="1"/>
    <col min="12304" max="12544" width="9.05078125" style="27"/>
    <col min="12545" max="12545" width="8" style="27" customWidth="1"/>
    <col min="12546" max="12546" width="13.9453125" style="27" customWidth="1"/>
    <col min="12547" max="12547" width="7.47265625" style="27" customWidth="1"/>
    <col min="12548" max="12548" width="7.3671875" style="27" customWidth="1"/>
    <col min="12549" max="12549" width="1.41796875" style="27" customWidth="1"/>
    <col min="12550" max="12550" width="1.9453125" style="27" customWidth="1"/>
    <col min="12551" max="12551" width="8" style="27" customWidth="1"/>
    <col min="12552" max="12552" width="11.68359375" style="27" customWidth="1"/>
    <col min="12553" max="12553" width="12.20703125" style="27" customWidth="1"/>
    <col min="12554" max="12554" width="10.26171875" style="27" customWidth="1"/>
    <col min="12555" max="12555" width="12.47265625" style="27" customWidth="1"/>
    <col min="12556" max="12556" width="7.89453125" style="27" customWidth="1"/>
    <col min="12557" max="12557" width="13.26171875" style="27" customWidth="1"/>
    <col min="12558" max="12558" width="19.83984375" style="27" customWidth="1"/>
    <col min="12559" max="12559" width="16.68359375" style="27" customWidth="1"/>
    <col min="12560" max="12800" width="9.05078125" style="27"/>
    <col min="12801" max="12801" width="8" style="27" customWidth="1"/>
    <col min="12802" max="12802" width="13.9453125" style="27" customWidth="1"/>
    <col min="12803" max="12803" width="7.47265625" style="27" customWidth="1"/>
    <col min="12804" max="12804" width="7.3671875" style="27" customWidth="1"/>
    <col min="12805" max="12805" width="1.41796875" style="27" customWidth="1"/>
    <col min="12806" max="12806" width="1.9453125" style="27" customWidth="1"/>
    <col min="12807" max="12807" width="8" style="27" customWidth="1"/>
    <col min="12808" max="12808" width="11.68359375" style="27" customWidth="1"/>
    <col min="12809" max="12809" width="12.20703125" style="27" customWidth="1"/>
    <col min="12810" max="12810" width="10.26171875" style="27" customWidth="1"/>
    <col min="12811" max="12811" width="12.47265625" style="27" customWidth="1"/>
    <col min="12812" max="12812" width="7.89453125" style="27" customWidth="1"/>
    <col min="12813" max="12813" width="13.26171875" style="27" customWidth="1"/>
    <col min="12814" max="12814" width="19.83984375" style="27" customWidth="1"/>
    <col min="12815" max="12815" width="16.68359375" style="27" customWidth="1"/>
    <col min="12816" max="13056" width="9.05078125" style="27"/>
    <col min="13057" max="13057" width="8" style="27" customWidth="1"/>
    <col min="13058" max="13058" width="13.9453125" style="27" customWidth="1"/>
    <col min="13059" max="13059" width="7.47265625" style="27" customWidth="1"/>
    <col min="13060" max="13060" width="7.3671875" style="27" customWidth="1"/>
    <col min="13061" max="13061" width="1.41796875" style="27" customWidth="1"/>
    <col min="13062" max="13062" width="1.9453125" style="27" customWidth="1"/>
    <col min="13063" max="13063" width="8" style="27" customWidth="1"/>
    <col min="13064" max="13064" width="11.68359375" style="27" customWidth="1"/>
    <col min="13065" max="13065" width="12.20703125" style="27" customWidth="1"/>
    <col min="13066" max="13066" width="10.26171875" style="27" customWidth="1"/>
    <col min="13067" max="13067" width="12.47265625" style="27" customWidth="1"/>
    <col min="13068" max="13068" width="7.89453125" style="27" customWidth="1"/>
    <col min="13069" max="13069" width="13.26171875" style="27" customWidth="1"/>
    <col min="13070" max="13070" width="19.83984375" style="27" customWidth="1"/>
    <col min="13071" max="13071" width="16.68359375" style="27" customWidth="1"/>
    <col min="13072" max="13312" width="9.05078125" style="27"/>
    <col min="13313" max="13313" width="8" style="27" customWidth="1"/>
    <col min="13314" max="13314" width="13.9453125" style="27" customWidth="1"/>
    <col min="13315" max="13315" width="7.47265625" style="27" customWidth="1"/>
    <col min="13316" max="13316" width="7.3671875" style="27" customWidth="1"/>
    <col min="13317" max="13317" width="1.41796875" style="27" customWidth="1"/>
    <col min="13318" max="13318" width="1.9453125" style="27" customWidth="1"/>
    <col min="13319" max="13319" width="8" style="27" customWidth="1"/>
    <col min="13320" max="13320" width="11.68359375" style="27" customWidth="1"/>
    <col min="13321" max="13321" width="12.20703125" style="27" customWidth="1"/>
    <col min="13322" max="13322" width="10.26171875" style="27" customWidth="1"/>
    <col min="13323" max="13323" width="12.47265625" style="27" customWidth="1"/>
    <col min="13324" max="13324" width="7.89453125" style="27" customWidth="1"/>
    <col min="13325" max="13325" width="13.26171875" style="27" customWidth="1"/>
    <col min="13326" max="13326" width="19.83984375" style="27" customWidth="1"/>
    <col min="13327" max="13327" width="16.68359375" style="27" customWidth="1"/>
    <col min="13328" max="13568" width="9.05078125" style="27"/>
    <col min="13569" max="13569" width="8" style="27" customWidth="1"/>
    <col min="13570" max="13570" width="13.9453125" style="27" customWidth="1"/>
    <col min="13571" max="13571" width="7.47265625" style="27" customWidth="1"/>
    <col min="13572" max="13572" width="7.3671875" style="27" customWidth="1"/>
    <col min="13573" max="13573" width="1.41796875" style="27" customWidth="1"/>
    <col min="13574" max="13574" width="1.9453125" style="27" customWidth="1"/>
    <col min="13575" max="13575" width="8" style="27" customWidth="1"/>
    <col min="13576" max="13576" width="11.68359375" style="27" customWidth="1"/>
    <col min="13577" max="13577" width="12.20703125" style="27" customWidth="1"/>
    <col min="13578" max="13578" width="10.26171875" style="27" customWidth="1"/>
    <col min="13579" max="13579" width="12.47265625" style="27" customWidth="1"/>
    <col min="13580" max="13580" width="7.89453125" style="27" customWidth="1"/>
    <col min="13581" max="13581" width="13.26171875" style="27" customWidth="1"/>
    <col min="13582" max="13582" width="19.83984375" style="27" customWidth="1"/>
    <col min="13583" max="13583" width="16.68359375" style="27" customWidth="1"/>
    <col min="13584" max="13824" width="9.05078125" style="27"/>
    <col min="13825" max="13825" width="8" style="27" customWidth="1"/>
    <col min="13826" max="13826" width="13.9453125" style="27" customWidth="1"/>
    <col min="13827" max="13827" width="7.47265625" style="27" customWidth="1"/>
    <col min="13828" max="13828" width="7.3671875" style="27" customWidth="1"/>
    <col min="13829" max="13829" width="1.41796875" style="27" customWidth="1"/>
    <col min="13830" max="13830" width="1.9453125" style="27" customWidth="1"/>
    <col min="13831" max="13831" width="8" style="27" customWidth="1"/>
    <col min="13832" max="13832" width="11.68359375" style="27" customWidth="1"/>
    <col min="13833" max="13833" width="12.20703125" style="27" customWidth="1"/>
    <col min="13834" max="13834" width="10.26171875" style="27" customWidth="1"/>
    <col min="13835" max="13835" width="12.47265625" style="27" customWidth="1"/>
    <col min="13836" max="13836" width="7.89453125" style="27" customWidth="1"/>
    <col min="13837" max="13837" width="13.26171875" style="27" customWidth="1"/>
    <col min="13838" max="13838" width="19.83984375" style="27" customWidth="1"/>
    <col min="13839" max="13839" width="16.68359375" style="27" customWidth="1"/>
    <col min="13840" max="14080" width="9.05078125" style="27"/>
    <col min="14081" max="14081" width="8" style="27" customWidth="1"/>
    <col min="14082" max="14082" width="13.9453125" style="27" customWidth="1"/>
    <col min="14083" max="14083" width="7.47265625" style="27" customWidth="1"/>
    <col min="14084" max="14084" width="7.3671875" style="27" customWidth="1"/>
    <col min="14085" max="14085" width="1.41796875" style="27" customWidth="1"/>
    <col min="14086" max="14086" width="1.9453125" style="27" customWidth="1"/>
    <col min="14087" max="14087" width="8" style="27" customWidth="1"/>
    <col min="14088" max="14088" width="11.68359375" style="27" customWidth="1"/>
    <col min="14089" max="14089" width="12.20703125" style="27" customWidth="1"/>
    <col min="14090" max="14090" width="10.26171875" style="27" customWidth="1"/>
    <col min="14091" max="14091" width="12.47265625" style="27" customWidth="1"/>
    <col min="14092" max="14092" width="7.89453125" style="27" customWidth="1"/>
    <col min="14093" max="14093" width="13.26171875" style="27" customWidth="1"/>
    <col min="14094" max="14094" width="19.83984375" style="27" customWidth="1"/>
    <col min="14095" max="14095" width="16.68359375" style="27" customWidth="1"/>
    <col min="14096" max="14336" width="9.05078125" style="27"/>
    <col min="14337" max="14337" width="8" style="27" customWidth="1"/>
    <col min="14338" max="14338" width="13.9453125" style="27" customWidth="1"/>
    <col min="14339" max="14339" width="7.47265625" style="27" customWidth="1"/>
    <col min="14340" max="14340" width="7.3671875" style="27" customWidth="1"/>
    <col min="14341" max="14341" width="1.41796875" style="27" customWidth="1"/>
    <col min="14342" max="14342" width="1.9453125" style="27" customWidth="1"/>
    <col min="14343" max="14343" width="8" style="27" customWidth="1"/>
    <col min="14344" max="14344" width="11.68359375" style="27" customWidth="1"/>
    <col min="14345" max="14345" width="12.20703125" style="27" customWidth="1"/>
    <col min="14346" max="14346" width="10.26171875" style="27" customWidth="1"/>
    <col min="14347" max="14347" width="12.47265625" style="27" customWidth="1"/>
    <col min="14348" max="14348" width="7.89453125" style="27" customWidth="1"/>
    <col min="14349" max="14349" width="13.26171875" style="27" customWidth="1"/>
    <col min="14350" max="14350" width="19.83984375" style="27" customWidth="1"/>
    <col min="14351" max="14351" width="16.68359375" style="27" customWidth="1"/>
    <col min="14352" max="14592" width="9.05078125" style="27"/>
    <col min="14593" max="14593" width="8" style="27" customWidth="1"/>
    <col min="14594" max="14594" width="13.9453125" style="27" customWidth="1"/>
    <col min="14595" max="14595" width="7.47265625" style="27" customWidth="1"/>
    <col min="14596" max="14596" width="7.3671875" style="27" customWidth="1"/>
    <col min="14597" max="14597" width="1.41796875" style="27" customWidth="1"/>
    <col min="14598" max="14598" width="1.9453125" style="27" customWidth="1"/>
    <col min="14599" max="14599" width="8" style="27" customWidth="1"/>
    <col min="14600" max="14600" width="11.68359375" style="27" customWidth="1"/>
    <col min="14601" max="14601" width="12.20703125" style="27" customWidth="1"/>
    <col min="14602" max="14602" width="10.26171875" style="27" customWidth="1"/>
    <col min="14603" max="14603" width="12.47265625" style="27" customWidth="1"/>
    <col min="14604" max="14604" width="7.89453125" style="27" customWidth="1"/>
    <col min="14605" max="14605" width="13.26171875" style="27" customWidth="1"/>
    <col min="14606" max="14606" width="19.83984375" style="27" customWidth="1"/>
    <col min="14607" max="14607" width="16.68359375" style="27" customWidth="1"/>
    <col min="14608" max="14848" width="9.05078125" style="27"/>
    <col min="14849" max="14849" width="8" style="27" customWidth="1"/>
    <col min="14850" max="14850" width="13.9453125" style="27" customWidth="1"/>
    <col min="14851" max="14851" width="7.47265625" style="27" customWidth="1"/>
    <col min="14852" max="14852" width="7.3671875" style="27" customWidth="1"/>
    <col min="14853" max="14853" width="1.41796875" style="27" customWidth="1"/>
    <col min="14854" max="14854" width="1.9453125" style="27" customWidth="1"/>
    <col min="14855" max="14855" width="8" style="27" customWidth="1"/>
    <col min="14856" max="14856" width="11.68359375" style="27" customWidth="1"/>
    <col min="14857" max="14857" width="12.20703125" style="27" customWidth="1"/>
    <col min="14858" max="14858" width="10.26171875" style="27" customWidth="1"/>
    <col min="14859" max="14859" width="12.47265625" style="27" customWidth="1"/>
    <col min="14860" max="14860" width="7.89453125" style="27" customWidth="1"/>
    <col min="14861" max="14861" width="13.26171875" style="27" customWidth="1"/>
    <col min="14862" max="14862" width="19.83984375" style="27" customWidth="1"/>
    <col min="14863" max="14863" width="16.68359375" style="27" customWidth="1"/>
    <col min="14864" max="15104" width="9.05078125" style="27"/>
    <col min="15105" max="15105" width="8" style="27" customWidth="1"/>
    <col min="15106" max="15106" width="13.9453125" style="27" customWidth="1"/>
    <col min="15107" max="15107" width="7.47265625" style="27" customWidth="1"/>
    <col min="15108" max="15108" width="7.3671875" style="27" customWidth="1"/>
    <col min="15109" max="15109" width="1.41796875" style="27" customWidth="1"/>
    <col min="15110" max="15110" width="1.9453125" style="27" customWidth="1"/>
    <col min="15111" max="15111" width="8" style="27" customWidth="1"/>
    <col min="15112" max="15112" width="11.68359375" style="27" customWidth="1"/>
    <col min="15113" max="15113" width="12.20703125" style="27" customWidth="1"/>
    <col min="15114" max="15114" width="10.26171875" style="27" customWidth="1"/>
    <col min="15115" max="15115" width="12.47265625" style="27" customWidth="1"/>
    <col min="15116" max="15116" width="7.89453125" style="27" customWidth="1"/>
    <col min="15117" max="15117" width="13.26171875" style="27" customWidth="1"/>
    <col min="15118" max="15118" width="19.83984375" style="27" customWidth="1"/>
    <col min="15119" max="15119" width="16.68359375" style="27" customWidth="1"/>
    <col min="15120" max="15360" width="9.05078125" style="27"/>
    <col min="15361" max="15361" width="8" style="27" customWidth="1"/>
    <col min="15362" max="15362" width="13.9453125" style="27" customWidth="1"/>
    <col min="15363" max="15363" width="7.47265625" style="27" customWidth="1"/>
    <col min="15364" max="15364" width="7.3671875" style="27" customWidth="1"/>
    <col min="15365" max="15365" width="1.41796875" style="27" customWidth="1"/>
    <col min="15366" max="15366" width="1.9453125" style="27" customWidth="1"/>
    <col min="15367" max="15367" width="8" style="27" customWidth="1"/>
    <col min="15368" max="15368" width="11.68359375" style="27" customWidth="1"/>
    <col min="15369" max="15369" width="12.20703125" style="27" customWidth="1"/>
    <col min="15370" max="15370" width="10.26171875" style="27" customWidth="1"/>
    <col min="15371" max="15371" width="12.47265625" style="27" customWidth="1"/>
    <col min="15372" max="15372" width="7.89453125" style="27" customWidth="1"/>
    <col min="15373" max="15373" width="13.26171875" style="27" customWidth="1"/>
    <col min="15374" max="15374" width="19.83984375" style="27" customWidth="1"/>
    <col min="15375" max="15375" width="16.68359375" style="27" customWidth="1"/>
    <col min="15376" max="15616" width="9.05078125" style="27"/>
    <col min="15617" max="15617" width="8" style="27" customWidth="1"/>
    <col min="15618" max="15618" width="13.9453125" style="27" customWidth="1"/>
    <col min="15619" max="15619" width="7.47265625" style="27" customWidth="1"/>
    <col min="15620" max="15620" width="7.3671875" style="27" customWidth="1"/>
    <col min="15621" max="15621" width="1.41796875" style="27" customWidth="1"/>
    <col min="15622" max="15622" width="1.9453125" style="27" customWidth="1"/>
    <col min="15623" max="15623" width="8" style="27" customWidth="1"/>
    <col min="15624" max="15624" width="11.68359375" style="27" customWidth="1"/>
    <col min="15625" max="15625" width="12.20703125" style="27" customWidth="1"/>
    <col min="15626" max="15626" width="10.26171875" style="27" customWidth="1"/>
    <col min="15627" max="15627" width="12.47265625" style="27" customWidth="1"/>
    <col min="15628" max="15628" width="7.89453125" style="27" customWidth="1"/>
    <col min="15629" max="15629" width="13.26171875" style="27" customWidth="1"/>
    <col min="15630" max="15630" width="19.83984375" style="27" customWidth="1"/>
    <col min="15631" max="15631" width="16.68359375" style="27" customWidth="1"/>
    <col min="15632" max="15872" width="9.05078125" style="27"/>
    <col min="15873" max="15873" width="8" style="27" customWidth="1"/>
    <col min="15874" max="15874" width="13.9453125" style="27" customWidth="1"/>
    <col min="15875" max="15875" width="7.47265625" style="27" customWidth="1"/>
    <col min="15876" max="15876" width="7.3671875" style="27" customWidth="1"/>
    <col min="15877" max="15877" width="1.41796875" style="27" customWidth="1"/>
    <col min="15878" max="15878" width="1.9453125" style="27" customWidth="1"/>
    <col min="15879" max="15879" width="8" style="27" customWidth="1"/>
    <col min="15880" max="15880" width="11.68359375" style="27" customWidth="1"/>
    <col min="15881" max="15881" width="12.20703125" style="27" customWidth="1"/>
    <col min="15882" max="15882" width="10.26171875" style="27" customWidth="1"/>
    <col min="15883" max="15883" width="12.47265625" style="27" customWidth="1"/>
    <col min="15884" max="15884" width="7.89453125" style="27" customWidth="1"/>
    <col min="15885" max="15885" width="13.26171875" style="27" customWidth="1"/>
    <col min="15886" max="15886" width="19.83984375" style="27" customWidth="1"/>
    <col min="15887" max="15887" width="16.68359375" style="27" customWidth="1"/>
    <col min="15888" max="16128" width="9.05078125" style="27"/>
    <col min="16129" max="16129" width="8" style="27" customWidth="1"/>
    <col min="16130" max="16130" width="13.9453125" style="27" customWidth="1"/>
    <col min="16131" max="16131" width="7.47265625" style="27" customWidth="1"/>
    <col min="16132" max="16132" width="7.3671875" style="27" customWidth="1"/>
    <col min="16133" max="16133" width="1.41796875" style="27" customWidth="1"/>
    <col min="16134" max="16134" width="1.9453125" style="27" customWidth="1"/>
    <col min="16135" max="16135" width="8" style="27" customWidth="1"/>
    <col min="16136" max="16136" width="11.68359375" style="27" customWidth="1"/>
    <col min="16137" max="16137" width="12.20703125" style="27" customWidth="1"/>
    <col min="16138" max="16138" width="10.26171875" style="27" customWidth="1"/>
    <col min="16139" max="16139" width="12.47265625" style="27" customWidth="1"/>
    <col min="16140" max="16140" width="7.89453125" style="27" customWidth="1"/>
    <col min="16141" max="16141" width="13.26171875" style="27" customWidth="1"/>
    <col min="16142" max="16142" width="19.83984375" style="27" customWidth="1"/>
    <col min="16143" max="16143" width="16.68359375" style="27" customWidth="1"/>
    <col min="16144" max="16384" width="9.05078125" style="27"/>
  </cols>
  <sheetData>
    <row r="1" spans="1:18" ht="15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8" ht="15">
      <c r="A2" s="107" t="s">
        <v>120</v>
      </c>
      <c r="B2" s="107"/>
      <c r="C2" s="107"/>
      <c r="D2" s="107"/>
      <c r="G2" s="28"/>
      <c r="H2" s="28"/>
      <c r="I2" s="28"/>
      <c r="J2" s="28"/>
      <c r="K2" s="28"/>
      <c r="M2" s="108"/>
      <c r="N2" s="108"/>
    </row>
    <row r="3" spans="1:18" ht="15">
      <c r="A3" s="107"/>
      <c r="B3" s="107"/>
      <c r="C3" s="107"/>
      <c r="D3" s="107"/>
      <c r="G3" s="28"/>
      <c r="H3" s="28"/>
      <c r="I3" s="28"/>
      <c r="J3" s="28"/>
      <c r="K3" s="28"/>
      <c r="M3" s="29"/>
      <c r="N3" s="29"/>
    </row>
    <row r="4" spans="1:18" ht="15">
      <c r="A4" s="28"/>
      <c r="B4" s="28"/>
      <c r="C4" s="28"/>
      <c r="D4" s="28"/>
      <c r="E4" s="28"/>
      <c r="G4" s="88" t="s">
        <v>121</v>
      </c>
      <c r="H4" s="88"/>
      <c r="I4" s="88"/>
      <c r="J4" s="30" t="s">
        <v>2</v>
      </c>
      <c r="K4" s="30"/>
      <c r="M4" s="31">
        <f>G24</f>
        <v>867</v>
      </c>
      <c r="N4" s="32"/>
    </row>
    <row r="5" spans="1:18" ht="27">
      <c r="A5" s="33"/>
      <c r="B5" s="28"/>
      <c r="C5" s="28"/>
      <c r="D5" s="28"/>
      <c r="E5" s="28"/>
      <c r="F5" s="26"/>
      <c r="G5" s="88"/>
      <c r="H5" s="88"/>
      <c r="I5" s="88"/>
      <c r="J5" s="30" t="s">
        <v>122</v>
      </c>
      <c r="K5" s="28"/>
      <c r="M5" s="34">
        <f>I24</f>
        <v>19603</v>
      </c>
      <c r="N5" s="35" t="s">
        <v>3</v>
      </c>
    </row>
    <row r="6" spans="1:18" ht="15">
      <c r="A6" s="109" t="s">
        <v>213</v>
      </c>
      <c r="B6" s="109"/>
      <c r="C6" s="109"/>
      <c r="D6" s="109"/>
      <c r="E6" s="28"/>
      <c r="F6" s="28"/>
      <c r="G6" s="28"/>
      <c r="H6" s="28"/>
      <c r="I6" s="28"/>
      <c r="J6" s="109" t="s">
        <v>4</v>
      </c>
      <c r="K6" s="109"/>
      <c r="M6" s="34">
        <f>K24</f>
        <v>19640</v>
      </c>
      <c r="N6" s="35" t="s">
        <v>3</v>
      </c>
    </row>
    <row r="7" spans="1:18" ht="18">
      <c r="A7" s="109"/>
      <c r="B7" s="109"/>
      <c r="C7" s="109"/>
      <c r="D7" s="109"/>
      <c r="E7" s="109"/>
      <c r="F7" s="28"/>
      <c r="G7" s="28"/>
      <c r="H7" s="28"/>
      <c r="I7" s="28"/>
      <c r="J7" s="109" t="s">
        <v>5</v>
      </c>
      <c r="K7" s="109"/>
      <c r="M7" s="34">
        <f>M24</f>
        <v>22.011574999999997</v>
      </c>
      <c r="N7" s="35" t="s">
        <v>123</v>
      </c>
    </row>
    <row r="8" spans="1:18" ht="1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8">
      <c r="A9" s="97" t="s">
        <v>124</v>
      </c>
      <c r="B9" s="99" t="s">
        <v>7</v>
      </c>
      <c r="C9" s="100"/>
      <c r="D9" s="100"/>
      <c r="E9" s="100"/>
      <c r="F9" s="101"/>
      <c r="G9" s="105" t="s">
        <v>125</v>
      </c>
      <c r="H9" s="93" t="s">
        <v>126</v>
      </c>
      <c r="I9" s="95"/>
      <c r="J9" s="93" t="s">
        <v>127</v>
      </c>
      <c r="K9" s="95"/>
      <c r="L9" s="93" t="s">
        <v>128</v>
      </c>
      <c r="M9" s="95"/>
      <c r="N9" s="96" t="s">
        <v>129</v>
      </c>
      <c r="O9" s="132"/>
    </row>
    <row r="10" spans="1:18">
      <c r="A10" s="98"/>
      <c r="B10" s="102"/>
      <c r="C10" s="103"/>
      <c r="D10" s="103"/>
      <c r="E10" s="103"/>
      <c r="F10" s="104"/>
      <c r="G10" s="106"/>
      <c r="H10" s="36" t="s">
        <v>130</v>
      </c>
      <c r="I10" s="36" t="s">
        <v>131</v>
      </c>
      <c r="J10" s="36" t="s">
        <v>130</v>
      </c>
      <c r="K10" s="36" t="s">
        <v>131</v>
      </c>
      <c r="L10" s="36" t="s">
        <v>132</v>
      </c>
      <c r="M10" s="36" t="s">
        <v>131</v>
      </c>
      <c r="N10" s="96"/>
      <c r="O10" s="133"/>
    </row>
    <row r="11" spans="1:18">
      <c r="A11" s="37" t="s">
        <v>133</v>
      </c>
      <c r="B11" s="90" t="s">
        <v>196</v>
      </c>
      <c r="C11" s="91"/>
      <c r="D11" s="91"/>
      <c r="E11" s="91"/>
      <c r="F11" s="92"/>
      <c r="G11" s="38">
        <v>3</v>
      </c>
      <c r="H11" s="39">
        <v>130</v>
      </c>
      <c r="I11" s="39">
        <f t="shared" ref="I11:I23" si="0">H11*G11</f>
        <v>390</v>
      </c>
      <c r="J11" s="39">
        <v>130</v>
      </c>
      <c r="K11" s="39">
        <f t="shared" ref="K11:K23" si="1">J11*G11</f>
        <v>390</v>
      </c>
      <c r="L11" s="39">
        <v>0.68</v>
      </c>
      <c r="M11" s="39">
        <f t="shared" ref="M11:M23" si="2">L11*G11</f>
        <v>2.04</v>
      </c>
      <c r="N11" s="40" t="s">
        <v>197</v>
      </c>
      <c r="O11" s="134"/>
    </row>
    <row r="12" spans="1:18">
      <c r="A12" s="37" t="s">
        <v>59</v>
      </c>
      <c r="B12" s="90" t="s">
        <v>196</v>
      </c>
      <c r="C12" s="91"/>
      <c r="D12" s="91"/>
      <c r="E12" s="91"/>
      <c r="F12" s="92"/>
      <c r="G12" s="38">
        <v>5</v>
      </c>
      <c r="H12" s="39">
        <v>80</v>
      </c>
      <c r="I12" s="39">
        <f t="shared" si="0"/>
        <v>400</v>
      </c>
      <c r="J12" s="39">
        <v>80</v>
      </c>
      <c r="K12" s="39">
        <f t="shared" si="1"/>
        <v>400</v>
      </c>
      <c r="L12" s="39">
        <f>0.8*0.8*0.55</f>
        <v>0.35200000000000009</v>
      </c>
      <c r="M12" s="39">
        <f>L12*G12</f>
        <v>1.7600000000000005</v>
      </c>
      <c r="N12" s="40" t="s">
        <v>198</v>
      </c>
      <c r="O12" s="133"/>
    </row>
    <row r="13" spans="1:18">
      <c r="A13" s="37" t="s">
        <v>60</v>
      </c>
      <c r="B13" s="90" t="s">
        <v>196</v>
      </c>
      <c r="C13" s="91"/>
      <c r="D13" s="91"/>
      <c r="E13" s="91"/>
      <c r="F13" s="92"/>
      <c r="G13" s="41">
        <v>1</v>
      </c>
      <c r="H13" s="42">
        <v>100</v>
      </c>
      <c r="I13" s="39">
        <f t="shared" si="0"/>
        <v>100</v>
      </c>
      <c r="J13" s="42">
        <v>100</v>
      </c>
      <c r="K13" s="39">
        <f t="shared" si="1"/>
        <v>100</v>
      </c>
      <c r="L13" s="42">
        <f>1.05*1.05*0.75</f>
        <v>0.82687500000000003</v>
      </c>
      <c r="M13" s="39">
        <f t="shared" si="2"/>
        <v>0.82687500000000003</v>
      </c>
      <c r="N13" s="41" t="s">
        <v>199</v>
      </c>
      <c r="O13" s="133"/>
      <c r="P13" s="43"/>
      <c r="Q13" s="43"/>
      <c r="R13" s="43"/>
    </row>
    <row r="14" spans="1:18">
      <c r="A14" s="37" t="s">
        <v>61</v>
      </c>
      <c r="B14" s="90" t="s">
        <v>200</v>
      </c>
      <c r="C14" s="91"/>
      <c r="D14" s="91"/>
      <c r="E14" s="91"/>
      <c r="F14" s="92"/>
      <c r="G14" s="41">
        <v>30</v>
      </c>
      <c r="H14" s="42"/>
      <c r="I14" s="39">
        <v>8000</v>
      </c>
      <c r="J14" s="42"/>
      <c r="K14" s="39">
        <v>8000</v>
      </c>
      <c r="L14" s="42">
        <f>0.2*0.2*6</f>
        <v>0.24000000000000005</v>
      </c>
      <c r="M14" s="39">
        <f t="shared" si="2"/>
        <v>7.2000000000000011</v>
      </c>
      <c r="N14" s="41" t="s">
        <v>201</v>
      </c>
      <c r="O14" s="133"/>
      <c r="P14" s="43"/>
      <c r="Q14" s="43"/>
      <c r="R14" s="43"/>
    </row>
    <row r="15" spans="1:18">
      <c r="A15" s="37" t="s">
        <v>62</v>
      </c>
      <c r="B15" s="90" t="s">
        <v>206</v>
      </c>
      <c r="C15" s="91"/>
      <c r="D15" s="91"/>
      <c r="E15" s="91"/>
      <c r="F15" s="92"/>
      <c r="G15" s="41">
        <v>727</v>
      </c>
      <c r="H15" s="42"/>
      <c r="I15" s="39">
        <v>4913</v>
      </c>
      <c r="J15" s="42"/>
      <c r="K15" s="39">
        <v>4913</v>
      </c>
      <c r="L15" s="42">
        <v>5.33</v>
      </c>
      <c r="M15" s="39">
        <v>5.33</v>
      </c>
      <c r="N15" s="41" t="s">
        <v>202</v>
      </c>
      <c r="O15" s="133"/>
      <c r="P15" s="43"/>
      <c r="Q15" s="43"/>
      <c r="R15" s="43"/>
    </row>
    <row r="16" spans="1:18">
      <c r="A16" s="37" t="s">
        <v>63</v>
      </c>
      <c r="B16" s="90" t="s">
        <v>206</v>
      </c>
      <c r="C16" s="91"/>
      <c r="D16" s="91"/>
      <c r="E16" s="91"/>
      <c r="F16" s="92"/>
      <c r="G16" s="41">
        <v>50</v>
      </c>
      <c r="H16" s="42"/>
      <c r="I16" s="39">
        <v>150</v>
      </c>
      <c r="J16" s="42"/>
      <c r="K16" s="39">
        <v>150</v>
      </c>
      <c r="L16" s="42">
        <v>0.36</v>
      </c>
      <c r="M16" s="39">
        <v>0.36</v>
      </c>
      <c r="N16" s="41"/>
      <c r="O16" s="133"/>
      <c r="P16" s="43"/>
      <c r="Q16" s="43"/>
      <c r="R16" s="43"/>
    </row>
    <row r="17" spans="1:18">
      <c r="A17" s="37" t="s">
        <v>64</v>
      </c>
      <c r="B17" s="90" t="s">
        <v>206</v>
      </c>
      <c r="C17" s="91"/>
      <c r="D17" s="91"/>
      <c r="E17" s="91"/>
      <c r="F17" s="92"/>
      <c r="G17" s="41">
        <v>25</v>
      </c>
      <c r="H17" s="42"/>
      <c r="I17" s="39">
        <v>180</v>
      </c>
      <c r="J17" s="42"/>
      <c r="K17" s="39">
        <v>180</v>
      </c>
      <c r="L17" s="42">
        <v>0.24</v>
      </c>
      <c r="M17" s="39">
        <v>0.24</v>
      </c>
      <c r="N17" s="41"/>
      <c r="O17" s="133"/>
      <c r="P17" s="43"/>
      <c r="Q17" s="43"/>
      <c r="R17" s="43"/>
    </row>
    <row r="18" spans="1:18">
      <c r="A18" s="37" t="s">
        <v>65</v>
      </c>
      <c r="B18" s="90" t="s">
        <v>206</v>
      </c>
      <c r="C18" s="91"/>
      <c r="D18" s="91"/>
      <c r="E18" s="91"/>
      <c r="F18" s="92"/>
      <c r="G18" s="41">
        <v>8</v>
      </c>
      <c r="H18" s="42"/>
      <c r="I18" s="39">
        <v>88</v>
      </c>
      <c r="J18" s="42"/>
      <c r="K18" s="39">
        <v>88</v>
      </c>
      <c r="L18" s="42">
        <v>0.15</v>
      </c>
      <c r="M18" s="39">
        <v>0.15</v>
      </c>
      <c r="N18" s="41"/>
      <c r="O18" s="133"/>
      <c r="P18" s="43"/>
      <c r="Q18" s="43"/>
      <c r="R18" s="43"/>
    </row>
    <row r="19" spans="1:18">
      <c r="A19" s="37" t="s">
        <v>66</v>
      </c>
      <c r="B19" s="90" t="s">
        <v>206</v>
      </c>
      <c r="C19" s="91"/>
      <c r="D19" s="91"/>
      <c r="E19" s="91"/>
      <c r="F19" s="92"/>
      <c r="G19" s="41">
        <v>14</v>
      </c>
      <c r="H19" s="42"/>
      <c r="I19" s="39">
        <v>20</v>
      </c>
      <c r="J19" s="42"/>
      <c r="K19" s="39">
        <v>20</v>
      </c>
      <c r="L19" s="42">
        <v>0.1</v>
      </c>
      <c r="M19" s="39">
        <v>0.1</v>
      </c>
      <c r="N19" s="41"/>
      <c r="O19" s="133"/>
      <c r="P19" s="43"/>
      <c r="Q19" s="43"/>
      <c r="R19" s="43"/>
    </row>
    <row r="20" spans="1:18">
      <c r="A20" s="37" t="s">
        <v>67</v>
      </c>
      <c r="B20" s="90" t="s">
        <v>200</v>
      </c>
      <c r="C20" s="91"/>
      <c r="D20" s="91"/>
      <c r="E20" s="91"/>
      <c r="F20" s="92"/>
      <c r="G20" s="41">
        <v>1</v>
      </c>
      <c r="H20" s="42">
        <v>2000</v>
      </c>
      <c r="I20" s="39">
        <f t="shared" si="0"/>
        <v>2000</v>
      </c>
      <c r="J20" s="42">
        <v>2000</v>
      </c>
      <c r="K20" s="39">
        <f t="shared" si="1"/>
        <v>2000</v>
      </c>
      <c r="L20" s="42">
        <f>2*0.9*0.45</f>
        <v>0.81</v>
      </c>
      <c r="M20" s="39">
        <f t="shared" si="2"/>
        <v>0.81</v>
      </c>
      <c r="N20" s="41" t="s">
        <v>203</v>
      </c>
      <c r="O20" s="133"/>
      <c r="P20" s="43"/>
      <c r="Q20" s="43"/>
      <c r="R20" s="43"/>
    </row>
    <row r="21" spans="1:18">
      <c r="A21" s="37" t="s">
        <v>68</v>
      </c>
      <c r="B21" s="90" t="s">
        <v>206</v>
      </c>
      <c r="C21" s="91"/>
      <c r="D21" s="91"/>
      <c r="E21" s="91"/>
      <c r="F21" s="92"/>
      <c r="G21" s="41">
        <v>1</v>
      </c>
      <c r="H21" s="42">
        <v>2919</v>
      </c>
      <c r="I21" s="39">
        <f t="shared" si="0"/>
        <v>2919</v>
      </c>
      <c r="J21" s="42">
        <v>2919</v>
      </c>
      <c r="K21" s="39">
        <f t="shared" si="1"/>
        <v>2919</v>
      </c>
      <c r="L21" s="42">
        <f>1.6*1.2*0.86</f>
        <v>1.6512</v>
      </c>
      <c r="M21" s="39">
        <f t="shared" si="2"/>
        <v>1.6512</v>
      </c>
      <c r="N21" s="41" t="s">
        <v>204</v>
      </c>
      <c r="O21" s="133"/>
      <c r="P21" s="43"/>
      <c r="Q21" s="43"/>
      <c r="R21" s="43"/>
    </row>
    <row r="22" spans="1:18">
      <c r="A22" s="37" t="s">
        <v>69</v>
      </c>
      <c r="B22" s="90" t="s">
        <v>217</v>
      </c>
      <c r="C22" s="91"/>
      <c r="D22" s="91"/>
      <c r="E22" s="91"/>
      <c r="F22" s="92"/>
      <c r="G22" s="41">
        <v>1</v>
      </c>
      <c r="H22" s="42">
        <v>200</v>
      </c>
      <c r="I22" s="39">
        <f t="shared" si="0"/>
        <v>200</v>
      </c>
      <c r="J22" s="42">
        <v>220</v>
      </c>
      <c r="K22" s="39">
        <f t="shared" si="1"/>
        <v>220</v>
      </c>
      <c r="L22" s="42">
        <f>1.05*1.05*0.7</f>
        <v>0.77174999999999994</v>
      </c>
      <c r="M22" s="39">
        <f t="shared" si="2"/>
        <v>0.77174999999999994</v>
      </c>
      <c r="N22" s="41" t="s">
        <v>205</v>
      </c>
      <c r="O22" s="133"/>
      <c r="P22" s="43"/>
      <c r="Q22" s="43"/>
      <c r="R22" s="43"/>
    </row>
    <row r="23" spans="1:18">
      <c r="A23" s="37" t="s">
        <v>70</v>
      </c>
      <c r="B23" s="90" t="s">
        <v>207</v>
      </c>
      <c r="C23" s="91"/>
      <c r="D23" s="91"/>
      <c r="E23" s="91"/>
      <c r="F23" s="92"/>
      <c r="G23" s="41">
        <v>1</v>
      </c>
      <c r="H23" s="42">
        <v>243</v>
      </c>
      <c r="I23" s="39">
        <f t="shared" si="0"/>
        <v>243</v>
      </c>
      <c r="J23" s="42">
        <v>260</v>
      </c>
      <c r="K23" s="39">
        <f t="shared" si="1"/>
        <v>260</v>
      </c>
      <c r="L23" s="42">
        <f>1.05*1.05*0.7</f>
        <v>0.77174999999999994</v>
      </c>
      <c r="M23" s="39">
        <f t="shared" si="2"/>
        <v>0.77174999999999994</v>
      </c>
      <c r="N23" s="41" t="s">
        <v>205</v>
      </c>
      <c r="O23" s="133"/>
      <c r="P23" s="43"/>
      <c r="Q23" s="43"/>
      <c r="R23" s="43"/>
    </row>
    <row r="24" spans="1:18">
      <c r="A24" s="44" t="s">
        <v>131</v>
      </c>
      <c r="B24" s="93"/>
      <c r="C24" s="94"/>
      <c r="D24" s="94"/>
      <c r="E24" s="94"/>
      <c r="F24" s="95"/>
      <c r="G24" s="41">
        <f>SUM(G11:G23)</f>
        <v>867</v>
      </c>
      <c r="H24" s="42"/>
      <c r="I24" s="42">
        <f>SUM(I11:I23)</f>
        <v>19603</v>
      </c>
      <c r="J24" s="42"/>
      <c r="K24" s="42">
        <f>SUM(K11:K23)</f>
        <v>19640</v>
      </c>
      <c r="L24" s="42"/>
      <c r="M24" s="42">
        <f>SUM(M11:M23)</f>
        <v>22.011574999999997</v>
      </c>
      <c r="N24" s="41"/>
    </row>
  </sheetData>
  <mergeCells count="30">
    <mergeCell ref="A7:E7"/>
    <mergeCell ref="J7:K7"/>
    <mergeCell ref="A2:D3"/>
    <mergeCell ref="M2:N2"/>
    <mergeCell ref="G4:I5"/>
    <mergeCell ref="A6:D6"/>
    <mergeCell ref="J6:K6"/>
    <mergeCell ref="A9:A10"/>
    <mergeCell ref="B9:F10"/>
    <mergeCell ref="G9:G10"/>
    <mergeCell ref="H9:I9"/>
    <mergeCell ref="J9:K9"/>
    <mergeCell ref="N9:N10"/>
    <mergeCell ref="O9:O10"/>
    <mergeCell ref="B11:F11"/>
    <mergeCell ref="O11:O23"/>
    <mergeCell ref="B12:F12"/>
    <mergeCell ref="B13:F13"/>
    <mergeCell ref="B14:F14"/>
    <mergeCell ref="B15:F15"/>
    <mergeCell ref="B16:F16"/>
    <mergeCell ref="B17:F17"/>
    <mergeCell ref="L9:M9"/>
    <mergeCell ref="B24:F24"/>
    <mergeCell ref="B18:F18"/>
    <mergeCell ref="B19:F19"/>
    <mergeCell ref="B20:F20"/>
    <mergeCell ref="B21:F21"/>
    <mergeCell ref="B22:F22"/>
    <mergeCell ref="B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 A</vt:lpstr>
      <vt:lpstr>BATCH B</vt:lpstr>
      <vt:lpstr>BATCH C</vt:lpstr>
      <vt:lpstr>BATCH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PCC</cp:lastModifiedBy>
  <dcterms:created xsi:type="dcterms:W3CDTF">2024-10-11T03:16:00Z</dcterms:created>
  <dcterms:modified xsi:type="dcterms:W3CDTF">2026-05-11T08:10:03Z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91D9A1A1F73A465D92D10A1C8F53946B_11</vt:lpwstr>
  </property>
  <property fmtid="{D5CDD505-2E9C-101B-9397-08002B2CF9AE}" pid="3" name="KSOProductBuildVer">
    <vt:lpwstr>2052-12.1.0.17827</vt:lpwstr>
  </property>
</Properties>
</file>